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ient_Summary" sheetId="1" state="visible" r:id="rId1"/>
    <sheet xmlns:r="http://schemas.openxmlformats.org/officeDocument/2006/relationships" name="Subhajit_Guha" sheetId="2" state="visible" r:id="rId2"/>
    <sheet xmlns:r="http://schemas.openxmlformats.org/officeDocument/2006/relationships" name="Subrata_Mandal" sheetId="3" state="visible" r:id="rId3"/>
    <sheet xmlns:r="http://schemas.openxmlformats.org/officeDocument/2006/relationships" name="Rituparna_Banerjee" sheetId="4" state="visible" r:id="rId4"/>
    <sheet xmlns:r="http://schemas.openxmlformats.org/officeDocument/2006/relationships" name="Murali_Panikar" sheetId="5" state="visible" r:id="rId5"/>
    <sheet xmlns:r="http://schemas.openxmlformats.org/officeDocument/2006/relationships" name="Supratim_Roy" sheetId="6" state="visible" r:id="rId6"/>
    <sheet xmlns:r="http://schemas.openxmlformats.org/officeDocument/2006/relationships" name="Anindita_Ghose" sheetId="7" state="visible" r:id="rId7"/>
    <sheet xmlns:r="http://schemas.openxmlformats.org/officeDocument/2006/relationships" name="Anand_Mehta" sheetId="8" state="visible" r:id="rId8"/>
    <sheet xmlns:r="http://schemas.openxmlformats.org/officeDocument/2006/relationships" name="Subhabrata" sheetId="9" state="visible" r:id="rId9"/>
    <sheet xmlns:r="http://schemas.openxmlformats.org/officeDocument/2006/relationships" name="Sushanta" sheetId="10" state="visible" r:id="rId10"/>
    <sheet xmlns:r="http://schemas.openxmlformats.org/officeDocument/2006/relationships" name="Anand_Poddar" sheetId="11" state="visible" r:id="rId11"/>
    <sheet xmlns:r="http://schemas.openxmlformats.org/officeDocument/2006/relationships" name="Debabrata_Dey" sheetId="12" state="visible" r:id="rId12"/>
    <sheet xmlns:r="http://schemas.openxmlformats.org/officeDocument/2006/relationships" name="Madhumita_Chatterjee" sheetId="13" state="visible" r:id="rId13"/>
    <sheet xmlns:r="http://schemas.openxmlformats.org/officeDocument/2006/relationships" name="Randhir_Paul" sheetId="14" state="visible" r:id="rId14"/>
    <sheet xmlns:r="http://schemas.openxmlformats.org/officeDocument/2006/relationships" name="Manish_Jaiswal" sheetId="15" state="visible" r:id="rId15"/>
    <sheet xmlns:r="http://schemas.openxmlformats.org/officeDocument/2006/relationships" name="RC_Yadav" sheetId="16" state="visible" r:id="rId16"/>
    <sheet xmlns:r="http://schemas.openxmlformats.org/officeDocument/2006/relationships" name="Indrajit_Basak" sheetId="17" state="visible" r:id="rId17"/>
    <sheet xmlns:r="http://schemas.openxmlformats.org/officeDocument/2006/relationships" name="Sumeet" sheetId="18" state="visible" r:id="rId18"/>
    <sheet xmlns:r="http://schemas.openxmlformats.org/officeDocument/2006/relationships" name="Samapti_Roy" sheetId="19" state="visible" r:id="rId19"/>
    <sheet xmlns:r="http://schemas.openxmlformats.org/officeDocument/2006/relationships" name="MK_Sarkar" sheetId="20" state="visible" r:id="rId20"/>
    <sheet xmlns:r="http://schemas.openxmlformats.org/officeDocument/2006/relationships" name="Komal_Sinha" sheetId="21" state="visible" r:id="rId21"/>
    <sheet xmlns:r="http://schemas.openxmlformats.org/officeDocument/2006/relationships" name="J_Mehta" sheetId="22" state="visible" r:id="rId22"/>
    <sheet xmlns:r="http://schemas.openxmlformats.org/officeDocument/2006/relationships" name="Utpal_Chowdhury" sheetId="23" state="visible" r:id="rId23"/>
    <sheet xmlns:r="http://schemas.openxmlformats.org/officeDocument/2006/relationships" name="Bijan_Raychaudhury" sheetId="24" state="visible" r:id="rId24"/>
    <sheet xmlns:r="http://schemas.openxmlformats.org/officeDocument/2006/relationships" name="Sanjit_Biswas" sheetId="25" state="visible" r:id="rId25"/>
    <sheet xmlns:r="http://schemas.openxmlformats.org/officeDocument/2006/relationships" name="Rakhi_Senapati" sheetId="26" state="visible" r:id="rId26"/>
    <sheet xmlns:r="http://schemas.openxmlformats.org/officeDocument/2006/relationships" name="Monali_Sengupta" sheetId="27" state="visible" r:id="rId27"/>
    <sheet xmlns:r="http://schemas.openxmlformats.org/officeDocument/2006/relationships" name="Subhabrata_Roy" sheetId="28" state="visible" r:id="rId28"/>
    <sheet xmlns:r="http://schemas.openxmlformats.org/officeDocument/2006/relationships" name="Palas_Sarkar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color theme="1"/>
      <sz val="11"/>
      <scheme val="minor"/>
    </font>
    <font>
      <name val="Calibri"/>
      <b val="1"/>
      <color rgb="FF1F4E78"/>
      <sz val="14"/>
    </font>
    <font>
      <name val="Quattrocento Sans"/>
      <b val="1"/>
      <color rgb="FF1F4E78"/>
      <sz val="15"/>
    </font>
    <font>
      <name val="Calibri"/>
      <color theme="1"/>
      <sz val="11"/>
    </font>
    <font>
      <name val="Quattrocento Sans"/>
      <i val="1"/>
      <color rgb="FF595959"/>
      <sz val="10"/>
    </font>
    <font>
      <name val="Calibri"/>
      <i val="1"/>
      <color rgb="FF595959"/>
      <sz val="11"/>
    </font>
    <font>
      <name val="Quattrocento Sans"/>
      <b val="1"/>
      <color rgb="FFFFFFFF"/>
      <sz val="11"/>
    </font>
    <font>
      <name val="Calibri"/>
      <b val="1"/>
      <color rgb="FFFFFFFF"/>
      <sz val="11"/>
    </font>
    <font>
      <name val="Quattrocento Sans"/>
      <color theme="1"/>
      <sz val="10"/>
    </font>
    <font>
      <name val="Quattrocento Sans"/>
      <b val="1"/>
      <color rgb="FFC00000"/>
      <sz val="10"/>
    </font>
    <font>
      <name val="Quattrocento Sans"/>
      <b val="1"/>
      <color rgb="001F4E78"/>
      <sz val="15"/>
    </font>
    <font>
      <name val="Quattrocento Sans"/>
      <color rgb="00333333"/>
      <sz val="10"/>
    </font>
    <font>
      <name val="Quattrocento Sans"/>
      <b val="1"/>
      <color rgb="00FFFFFF"/>
      <sz val="11"/>
    </font>
    <font>
      <name val="Quattrocento Sans"/>
      <color rgb="00000000"/>
      <sz val="10"/>
    </font>
  </fonts>
  <fills count="7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9FAFB"/>
        <bgColor rgb="FFF9FAFB"/>
      </patternFill>
    </fill>
    <fill>
      <patternFill patternType="solid">
        <fgColor rgb="001F4E78"/>
        <bgColor rgb="001F4E78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3" fontId="8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0" fillId="0" borderId="0" pivotButton="0" quotePrefix="0" xfId="0"/>
    <xf numFmtId="0" fontId="13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 vertical="center" wrapText="1"/>
    </xf>
    <xf numFmtId="3" fontId="13" fillId="0" borderId="2" applyAlignment="1" pivotButton="0" quotePrefix="0" xfId="0">
      <alignment horizontal="center" vertical="center" wrapText="1"/>
    </xf>
    <xf numFmtId="164" fontId="13" fillId="0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6" borderId="2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21" min="1" max="1"/>
    <col width="14" customWidth="1" style="21" min="2" max="2"/>
    <col width="45" customWidth="1" style="21" min="3" max="3"/>
    <col width="16" customWidth="1" style="21" min="4" max="4"/>
    <col width="26" customWidth="1" style="21" min="5" max="5"/>
    <col width="24" customWidth="1" style="21" min="6" max="6"/>
    <col width="16" customWidth="1" style="21" min="7" max="7"/>
    <col width="26" customWidth="1" style="21" min="8" max="8"/>
  </cols>
  <sheetData>
    <row r="1">
      <c r="A1" s="2" t="inlineStr">
        <is>
          <t>CLIENT PACKAGE COMPLETION &amp; PROBABILITY DASHBOARD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Master Register Overview &amp; Probability of Package Over Date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S.No.</t>
        </is>
      </c>
      <c r="B4" s="6" t="inlineStr">
        <is>
          <t>Reg. Date</t>
        </is>
      </c>
      <c r="C4" s="6" t="inlineStr">
        <is>
          <t>Client Name</t>
        </is>
      </c>
      <c r="D4" s="6" t="inlineStr">
        <is>
          <t>Package Status</t>
        </is>
      </c>
      <c r="E4" s="6" t="inlineStr">
        <is>
          <t>Total Duration (Mins/Value)</t>
        </is>
      </c>
      <c r="F4" s="6" t="inlineStr">
        <is>
          <t>Consumed (Mins/Value)</t>
        </is>
      </c>
      <c r="G4" s="6" t="inlineStr">
        <is>
          <t>% Completed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n">
        <v>1</v>
      </c>
      <c r="B5" s="7" t="inlineStr">
        <is>
          <t>09/06/2025</t>
        </is>
      </c>
      <c r="C5" s="9" t="inlineStr">
        <is>
          <t>Mr. Subhajit Guha</t>
        </is>
      </c>
      <c r="D5" s="7" t="inlineStr">
        <is>
          <t>OVER</t>
        </is>
      </c>
      <c r="E5" s="7" t="n">
        <v>900</v>
      </c>
      <c r="F5" s="10">
        <f>Subhajit_Guha!E13</f>
        <v/>
      </c>
      <c r="G5" s="11">
        <f>F5/E5</f>
        <v/>
      </c>
      <c r="H5" s="7">
        <f>Subhajit_Guha!H13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7" t="n">
        <v>2</v>
      </c>
      <c r="B6" s="7" t="inlineStr">
        <is>
          <t>14/06/2025</t>
        </is>
      </c>
      <c r="C6" s="9" t="inlineStr">
        <is>
          <t>Mr. Subrata Mandal (New Pkg Active)</t>
        </is>
      </c>
      <c r="D6" s="7" t="inlineStr">
        <is>
          <t>ACTIVE</t>
        </is>
      </c>
      <c r="E6" s="7" t="n">
        <v>2580</v>
      </c>
      <c r="F6" s="7">
        <f>Subrata_Mandal!E27</f>
        <v/>
      </c>
      <c r="G6" s="11">
        <f>F6/E6</f>
        <v/>
      </c>
      <c r="H6" s="7">
        <f>Subrata_Mandal!H27</f>
        <v/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n">
        <v>3</v>
      </c>
      <c r="B7" s="7" t="inlineStr">
        <is>
          <t>17/06/2025</t>
        </is>
      </c>
      <c r="C7" s="9" t="inlineStr">
        <is>
          <t>Miss Rituparna Banerjee</t>
        </is>
      </c>
      <c r="D7" s="7" t="inlineStr">
        <is>
          <t>OVER</t>
        </is>
      </c>
      <c r="E7" s="7" t="n">
        <v>300</v>
      </c>
      <c r="F7" s="10">
        <f>Rituparna_Banerjee!E6</f>
        <v/>
      </c>
      <c r="G7" s="11">
        <f>F7/E7</f>
        <v/>
      </c>
      <c r="H7" s="7">
        <f>Rituparna_Banerjee!H6</f>
        <v/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7" t="n">
        <v>4</v>
      </c>
      <c r="B8" s="7" t="inlineStr">
        <is>
          <t>20/06/2025</t>
        </is>
      </c>
      <c r="C8" s="9" t="inlineStr">
        <is>
          <t>Mr. Murali Panikar</t>
        </is>
      </c>
      <c r="D8" s="7" t="inlineStr">
        <is>
          <t>OVER</t>
        </is>
      </c>
      <c r="E8" s="7" t="n">
        <v>360</v>
      </c>
      <c r="F8" s="10">
        <f>Murali_Panikar!E9</f>
        <v/>
      </c>
      <c r="G8" s="11">
        <f>F8/E8</f>
        <v/>
      </c>
      <c r="H8" s="7">
        <f>Murali_Panikar!H9</f>
        <v/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n">
        <v>5</v>
      </c>
      <c r="B9" s="7" t="inlineStr">
        <is>
          <t>20/06/2025</t>
        </is>
      </c>
      <c r="C9" s="9" t="inlineStr">
        <is>
          <t>Mr. Supratim Roy</t>
        </is>
      </c>
      <c r="D9" s="7" t="inlineStr">
        <is>
          <t>OVER</t>
        </is>
      </c>
      <c r="E9" s="7" t="n">
        <v>480</v>
      </c>
      <c r="F9" s="10">
        <f>Supratim_Roy!E12</f>
        <v/>
      </c>
      <c r="G9" s="11">
        <f>F9/E9</f>
        <v/>
      </c>
      <c r="H9" s="7">
        <f>Supratim_Roy!H12</f>
        <v/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7" t="n">
        <v>6</v>
      </c>
      <c r="B10" s="7" t="inlineStr">
        <is>
          <t>03/07/2025</t>
        </is>
      </c>
      <c r="C10" s="9" t="inlineStr">
        <is>
          <t>Miss Anindita Ghose</t>
        </is>
      </c>
      <c r="D10" s="7" t="inlineStr">
        <is>
          <t>NOT STARTED</t>
        </is>
      </c>
      <c r="E10" s="7" t="n">
        <v>300</v>
      </c>
      <c r="F10" s="10">
        <f>Anindita_Ghose!E5</f>
        <v/>
      </c>
      <c r="G10" s="11">
        <f>F10/E10</f>
        <v/>
      </c>
      <c r="H10" s="7">
        <f>Anindita_Ghose!H5</f>
        <v/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n">
        <v>7</v>
      </c>
      <c r="B11" s="7" t="inlineStr">
        <is>
          <t>14/07/2025</t>
        </is>
      </c>
      <c r="C11" s="9" t="inlineStr">
        <is>
          <t>Mr. Anand Mehta</t>
        </is>
      </c>
      <c r="D11" s="7" t="inlineStr">
        <is>
          <t>OVER</t>
        </is>
      </c>
      <c r="E11" s="7" t="n">
        <v>1200</v>
      </c>
      <c r="F11" s="10">
        <f>Anand_Mehta!E23</f>
        <v/>
      </c>
      <c r="G11" s="11">
        <f>F11/E11</f>
        <v/>
      </c>
      <c r="H11" s="7">
        <f>Anand_Mehta!H23</f>
        <v/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n">
        <v>8</v>
      </c>
      <c r="B12" s="7" t="inlineStr">
        <is>
          <t>18/07/2025</t>
        </is>
      </c>
      <c r="C12" s="9" t="inlineStr">
        <is>
          <t>Mr. Subhabrata</t>
        </is>
      </c>
      <c r="D12" s="7" t="inlineStr">
        <is>
          <t>OVER</t>
        </is>
      </c>
      <c r="E12" s="7" t="n">
        <v>600</v>
      </c>
      <c r="F12" s="10">
        <f>Subhabrata!E5</f>
        <v/>
      </c>
      <c r="G12" s="11">
        <f>F12/E12</f>
        <v/>
      </c>
      <c r="H12" s="7">
        <f>Subhabrata!H5</f>
        <v/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n">
        <v>9</v>
      </c>
      <c r="B13" s="7" t="inlineStr">
        <is>
          <t>20/07/2025</t>
        </is>
      </c>
      <c r="C13" s="9" t="inlineStr">
        <is>
          <t>Mr. Sushanta B.</t>
        </is>
      </c>
      <c r="D13" s="7" t="inlineStr">
        <is>
          <t>NOT STARTED</t>
        </is>
      </c>
      <c r="E13" s="7" t="n">
        <v>4800</v>
      </c>
      <c r="F13" s="10">
        <f>Sushanta!E5</f>
        <v/>
      </c>
      <c r="G13" s="11">
        <f>F13/E13</f>
        <v/>
      </c>
      <c r="H13" s="7">
        <f>Sushanta!H5</f>
        <v/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n">
        <v>10</v>
      </c>
      <c r="B14" s="7" t="inlineStr">
        <is>
          <t>22/07/2025</t>
        </is>
      </c>
      <c r="C14" s="9" t="inlineStr">
        <is>
          <t>Mr. Anand Poddar</t>
        </is>
      </c>
      <c r="D14" s="7" t="inlineStr">
        <is>
          <t>OVER</t>
        </is>
      </c>
      <c r="E14" s="7" t="n">
        <v>420</v>
      </c>
      <c r="F14" s="10">
        <f>Anand_Poddar!E12</f>
        <v/>
      </c>
      <c r="G14" s="11">
        <f>F14/E14</f>
        <v/>
      </c>
      <c r="H14" s="7">
        <f>Anand_Poddar!H12</f>
        <v/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n">
        <v>11</v>
      </c>
      <c r="B15" s="7" t="inlineStr">
        <is>
          <t>23/07/2025</t>
        </is>
      </c>
      <c r="C15" s="9" t="inlineStr">
        <is>
          <t>Mr. Debabrata Dey</t>
        </is>
      </c>
      <c r="D15" s="7" t="inlineStr">
        <is>
          <t>OVER</t>
        </is>
      </c>
      <c r="E15" s="7" t="n">
        <v>7000</v>
      </c>
      <c r="F15" s="10">
        <f>Debabrata_Dey!E8</f>
        <v/>
      </c>
      <c r="G15" s="11">
        <f>F15/E15</f>
        <v/>
      </c>
      <c r="H15" s="7">
        <f>Debabrata_Dey!H8</f>
        <v/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n">
        <v>12</v>
      </c>
      <c r="B16" s="7" t="inlineStr">
        <is>
          <t>07/08/2025</t>
        </is>
      </c>
      <c r="C16" s="9" t="inlineStr">
        <is>
          <t>Madhumita Chatterjee</t>
        </is>
      </c>
      <c r="D16" s="7" t="inlineStr">
        <is>
          <t>OVER</t>
        </is>
      </c>
      <c r="E16" s="7" t="n">
        <v>420</v>
      </c>
      <c r="F16" s="10">
        <f>Madhumita_Chatterjee!E11</f>
        <v/>
      </c>
      <c r="G16" s="11">
        <f>F16/E16</f>
        <v/>
      </c>
      <c r="H16" s="7">
        <f>Madhumita_Chatterjee!H11</f>
        <v/>
      </c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n">
        <v>13</v>
      </c>
      <c r="B17" s="7" t="inlineStr">
        <is>
          <t>13/08/2025</t>
        </is>
      </c>
      <c r="C17" s="9" t="inlineStr">
        <is>
          <t>Mr. Randhir Paul</t>
        </is>
      </c>
      <c r="D17" s="7" t="inlineStr">
        <is>
          <t>OVER</t>
        </is>
      </c>
      <c r="E17" s="7" t="n">
        <v>1200</v>
      </c>
      <c r="F17" s="10">
        <f>Randhir_Paul!E21</f>
        <v/>
      </c>
      <c r="G17" s="11">
        <f>F17/E17</f>
        <v/>
      </c>
      <c r="H17" s="7">
        <f>Randhir_Paul!H21</f>
        <v/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n">
        <v>14</v>
      </c>
      <c r="B18" s="7" t="inlineStr">
        <is>
          <t>14/08/2025</t>
        </is>
      </c>
      <c r="C18" s="9" t="inlineStr">
        <is>
          <t>Mrs. Manish Jaiswal</t>
        </is>
      </c>
      <c r="D18" s="7" t="inlineStr">
        <is>
          <t>OVER</t>
        </is>
      </c>
      <c r="E18" s="7" t="n">
        <v>8000</v>
      </c>
      <c r="F18" s="10">
        <f>Manish_Jaiswal!E9</f>
        <v/>
      </c>
      <c r="G18" s="11">
        <f>F18/E18</f>
        <v/>
      </c>
      <c r="H18" s="7">
        <f>Manish_Jaiswal!H9</f>
        <v/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n">
        <v>15</v>
      </c>
      <c r="B19" s="7" t="inlineStr">
        <is>
          <t>15/08/2025</t>
        </is>
      </c>
      <c r="C19" s="9" t="inlineStr">
        <is>
          <t>Dr. R.C. Yadav (Paid 5k for 10 hrs &amp; Self + New Pkg Merged)</t>
        </is>
      </c>
      <c r="D19" s="7" t="inlineStr">
        <is>
          <t>ACTIVE</t>
        </is>
      </c>
      <c r="E19" s="7" t="n">
        <v>2400</v>
      </c>
      <c r="F19" s="7">
        <f>RC_Yadav!E43</f>
        <v/>
      </c>
      <c r="G19" s="11">
        <f>F19/E19</f>
        <v/>
      </c>
      <c r="H19" s="7">
        <f>RC_Yadav!H43</f>
        <v/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n">
        <v>16</v>
      </c>
      <c r="B20" s="7" t="inlineStr">
        <is>
          <t>18/08/2025</t>
        </is>
      </c>
      <c r="C20" s="9" t="inlineStr">
        <is>
          <t>Mr. Indrajit Basak (Paid 5k for 8 hrs - New Pkg)</t>
        </is>
      </c>
      <c r="D20" s="7" t="inlineStr">
        <is>
          <t>ACTIVE</t>
        </is>
      </c>
      <c r="E20" s="7" t="n">
        <v>960</v>
      </c>
      <c r="F20" s="7">
        <f>Indrajit_Basak!E17</f>
        <v/>
      </c>
      <c r="G20" s="11">
        <f>F20/E20</f>
        <v/>
      </c>
      <c r="H20" s="7">
        <f>Indrajit_Basak!H17</f>
        <v/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7" t="n">
        <v>17</v>
      </c>
      <c r="B21" s="7" t="inlineStr">
        <is>
          <t>20/08/2025</t>
        </is>
      </c>
      <c r="C21" s="9" t="inlineStr">
        <is>
          <t>Mr. Sumeet (10k Paid for 15 hrs)</t>
        </is>
      </c>
      <c r="D21" s="7" t="inlineStr">
        <is>
          <t>ACTIVE</t>
        </is>
      </c>
      <c r="E21" s="7" t="n">
        <v>900</v>
      </c>
      <c r="F21" s="7">
        <f>Sumeet!E12</f>
        <v/>
      </c>
      <c r="G21" s="11">
        <f>F21/E21</f>
        <v/>
      </c>
      <c r="H21" s="7">
        <f>Sumeet!H12</f>
        <v/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7" t="n">
        <v>18</v>
      </c>
      <c r="B22" s="7" t="inlineStr">
        <is>
          <t>24/08/2025</t>
        </is>
      </c>
      <c r="C22" s="9" t="inlineStr">
        <is>
          <t>Miss Samapti Roy (Paid 5k for 7 hrs &amp; 8 hrs)</t>
        </is>
      </c>
      <c r="D22" s="7" t="inlineStr">
        <is>
          <t>OVER</t>
        </is>
      </c>
      <c r="E22" s="7" t="n">
        <v>900</v>
      </c>
      <c r="F22" s="7">
        <f>Samapti_Roy!E19</f>
        <v/>
      </c>
      <c r="G22" s="11">
        <f>F22/E22</f>
        <v/>
      </c>
      <c r="H22" s="7">
        <f>Samapti_Roy!H19</f>
        <v/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7" t="n">
        <v>19</v>
      </c>
      <c r="B23" s="7" t="inlineStr">
        <is>
          <t>08/09/2025</t>
        </is>
      </c>
      <c r="C23" s="9" t="inlineStr">
        <is>
          <t>Mr. M.K. Sarkar (Anniversary Special Offer)</t>
        </is>
      </c>
      <c r="D23" s="7" t="inlineStr">
        <is>
          <t>ACTIVE</t>
        </is>
      </c>
      <c r="E23" s="7" t="n">
        <v>1200</v>
      </c>
      <c r="F23" s="7">
        <f>MK_Sarkar!E21</f>
        <v/>
      </c>
      <c r="G23" s="11">
        <f>F23/E23</f>
        <v/>
      </c>
      <c r="H23" s="7">
        <f>MK_Sarkar!H21</f>
        <v/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7" t="n">
        <v>20</v>
      </c>
      <c r="B24" s="7" t="inlineStr">
        <is>
          <t>26/09/2025</t>
        </is>
      </c>
      <c r="C24" s="9" t="inlineStr">
        <is>
          <t>Mrs. Komal Sinha (Pooja Offer - 5k for 6 Sessions)</t>
        </is>
      </c>
      <c r="D24" s="7" t="inlineStr">
        <is>
          <t>ACTIVE</t>
        </is>
      </c>
      <c r="E24" s="7" t="n">
        <v>8650</v>
      </c>
      <c r="F24" s="7">
        <f>Komal_Sinha!E12</f>
        <v/>
      </c>
      <c r="G24" s="11">
        <f>F24/E24</f>
        <v/>
      </c>
      <c r="H24" s="7">
        <f>Komal_Sinha!H12</f>
        <v/>
      </c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7" t="n">
        <v>21</v>
      </c>
      <c r="B25" s="7" t="inlineStr">
        <is>
          <t>08/10/2025</t>
        </is>
      </c>
      <c r="C25" s="9" t="inlineStr">
        <is>
          <t>J. Mehta (9830111676 - Paid 10k for 14 hrs)</t>
        </is>
      </c>
      <c r="D25" s="7" t="inlineStr">
        <is>
          <t>ACTIVE</t>
        </is>
      </c>
      <c r="E25" s="7" t="n">
        <v>840</v>
      </c>
      <c r="F25" s="7">
        <f>J_Mehta!E14</f>
        <v/>
      </c>
      <c r="G25" s="11">
        <f>F25/E25</f>
        <v/>
      </c>
      <c r="H25" s="7">
        <f>J_Mehta!H14</f>
        <v/>
      </c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7" t="n">
        <v>22</v>
      </c>
      <c r="B26" s="7" t="inlineStr">
        <is>
          <t>09/10/2025</t>
        </is>
      </c>
      <c r="C26" s="9" t="inlineStr">
        <is>
          <t>Mr. Utpal Chowdhury (Paid 20k for 25k)</t>
        </is>
      </c>
      <c r="D26" s="7" t="inlineStr">
        <is>
          <t>ACTIVE</t>
        </is>
      </c>
      <c r="E26" s="7" t="n">
        <v>26900</v>
      </c>
      <c r="F26" s="7">
        <f>Utpal_Chowdhury!E10</f>
        <v/>
      </c>
      <c r="G26" s="11">
        <f>F26/E26</f>
        <v/>
      </c>
      <c r="H26" s="7">
        <f>Utpal_Chowdhury!H10</f>
        <v/>
      </c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22" t="n">
        <v>23</v>
      </c>
      <c r="B27" s="22" t="inlineStr">
        <is>
          <t>11/10/2025</t>
        </is>
      </c>
      <c r="C27" s="23" t="inlineStr">
        <is>
          <t>Mr. Bijan Raychaudhury (5k Paid for 450m &amp; 510m - Merged)</t>
        </is>
      </c>
      <c r="D27" s="22" t="inlineStr">
        <is>
          <t>ACTIVE</t>
        </is>
      </c>
      <c r="E27" s="22" t="n">
        <v>960</v>
      </c>
      <c r="F27" s="24">
        <f>Bijan_Raychaudhury!E15</f>
        <v/>
      </c>
      <c r="G27" s="25">
        <f>F27/E27</f>
        <v/>
      </c>
      <c r="H27" s="22">
        <f>Bijan_Raychaudhury!H15</f>
        <v/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22" t="n">
        <v>24</v>
      </c>
      <c r="B28" s="22" t="inlineStr">
        <is>
          <t>11/10/2025</t>
        </is>
      </c>
      <c r="C28" s="23" t="inlineStr">
        <is>
          <t>Mr. Sanjit Biswas (Paid 5k for 7 hrs &amp; Reflexology Offer)</t>
        </is>
      </c>
      <c r="D28" s="22" t="inlineStr">
        <is>
          <t>ACTIVE</t>
        </is>
      </c>
      <c r="E28" s="22" t="n">
        <v>870</v>
      </c>
      <c r="F28" s="24">
        <f>Sanjit_Biswas!E14</f>
        <v/>
      </c>
      <c r="G28" s="25">
        <f>F28/E28</f>
        <v/>
      </c>
      <c r="H28" s="22">
        <f>Sanjit_Biswas!H14</f>
        <v/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22" t="n">
        <v>25</v>
      </c>
      <c r="B29" s="22" t="inlineStr">
        <is>
          <t>17/10/2025</t>
        </is>
      </c>
      <c r="C29" s="23" t="inlineStr">
        <is>
          <t>Mrs. Rakhi Senapati (Paid 5k for 10 Sessions)</t>
        </is>
      </c>
      <c r="D29" s="22" t="inlineStr">
        <is>
          <t>ACTIVE</t>
        </is>
      </c>
      <c r="E29" s="22" t="n">
        <v>600</v>
      </c>
      <c r="F29" s="24">
        <f>Rakhi_Senapati!E6</f>
        <v/>
      </c>
      <c r="G29" s="25">
        <f>F29/E29</f>
        <v/>
      </c>
      <c r="H29" s="22">
        <f>Rakhi_Senapati!H6</f>
        <v/>
      </c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22" t="n">
        <v>26</v>
      </c>
      <c r="B30" s="22" t="inlineStr">
        <is>
          <t>19/10/2025</t>
        </is>
      </c>
      <c r="C30" s="23" t="inlineStr">
        <is>
          <t>Mrs. Monali Sengupta (9163526861 - Paid 5k for 7 hrs)</t>
        </is>
      </c>
      <c r="D30" s="22" t="inlineStr">
        <is>
          <t>ACTIVE</t>
        </is>
      </c>
      <c r="E30" s="22" t="n">
        <v>420</v>
      </c>
      <c r="F30" s="24">
        <f>Monali_Sengupta!E11</f>
        <v/>
      </c>
      <c r="G30" s="25">
        <f>F30/E30</f>
        <v/>
      </c>
      <c r="H30" s="22">
        <f>Monali_Sengupta!H11</f>
        <v/>
      </c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22" t="n">
        <v>27</v>
      </c>
      <c r="B31" s="22" t="inlineStr">
        <is>
          <t>13/03/2026</t>
        </is>
      </c>
      <c r="C31" s="23" t="inlineStr">
        <is>
          <t>Mr. Subhabrata Roy (Paid 20k for 30 hrs)</t>
        </is>
      </c>
      <c r="D31" s="22" t="inlineStr">
        <is>
          <t>ACTIVE</t>
        </is>
      </c>
      <c r="E31" s="22" t="n">
        <v>1800</v>
      </c>
      <c r="F31" s="24">
        <f>Subhabrata_Roy!E17</f>
        <v/>
      </c>
      <c r="G31" s="25">
        <f>F31/E31</f>
        <v/>
      </c>
      <c r="H31" s="22">
        <f>Subhabrata_Roy!H17</f>
        <v/>
      </c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22" t="n">
        <v>28</v>
      </c>
      <c r="B32" s="22" t="inlineStr">
        <is>
          <t>21/10/2025</t>
        </is>
      </c>
      <c r="C32" s="23" t="inlineStr">
        <is>
          <t>Mr. Palas Sarkar (Total 5k for 10 hrs)</t>
        </is>
      </c>
      <c r="D32" s="22" t="inlineStr">
        <is>
          <t>OVER</t>
        </is>
      </c>
      <c r="E32" s="22" t="n">
        <v>600</v>
      </c>
      <c r="F32" s="24">
        <f>Palas_Sarkar!E14</f>
        <v/>
      </c>
      <c r="G32" s="25">
        <f>F32/E32</f>
        <v/>
      </c>
      <c r="H32" s="22">
        <f>Palas_Sarkar!H14</f>
        <v/>
      </c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6" customWidth="1" style="21" min="1" max="1"/>
    <col width="16" customWidth="1" style="21" min="2" max="2"/>
    <col width="25" customWidth="1" style="21" min="3" max="3"/>
    <col width="23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MR. SUBHAJIT GUHA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09/06/2025  |  Package Details: Paid 10k for 15 Hours  |  Total Package Capacity: 900 Mins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09/06/2025</t>
        </is>
      </c>
      <c r="C5" s="13" t="n">
        <v>60</v>
      </c>
      <c r="D5" s="13" t="inlineStr">
        <is>
          <t>Ritvika</t>
        </is>
      </c>
      <c r="E5" s="14">
        <f>C5</f>
        <v/>
      </c>
      <c r="F5" s="14">
        <f>900-E5</f>
        <v/>
      </c>
      <c r="G5" s="15">
        <f>E5/900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7" t="n">
        <v>2</v>
      </c>
      <c r="B6" s="17" t="inlineStr">
        <is>
          <t>24/06/2025</t>
        </is>
      </c>
      <c r="C6" s="18" t="n">
        <v>60</v>
      </c>
      <c r="D6" s="18" t="inlineStr">
        <is>
          <t>Ritvika</t>
        </is>
      </c>
      <c r="E6" s="19">
        <f>E5+C6</f>
        <v/>
      </c>
      <c r="F6" s="19">
        <f>900-E6</f>
        <v/>
      </c>
      <c r="G6" s="20">
        <f>E6/900</f>
        <v/>
      </c>
      <c r="H6" s="16">
        <f>IF(G6&gt;=1, "100.0% (Package Over)", TEXT(MIN(G6*100, 99.9), "0.0") &amp; "%")</f>
        <v/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n">
        <v>3</v>
      </c>
      <c r="B7" s="12" t="inlineStr">
        <is>
          <t>04/08/2025</t>
        </is>
      </c>
      <c r="C7" s="13" t="n">
        <v>60</v>
      </c>
      <c r="D7" s="13" t="inlineStr">
        <is>
          <t>Soma</t>
        </is>
      </c>
      <c r="E7" s="14">
        <f>E6+C7</f>
        <v/>
      </c>
      <c r="F7" s="14">
        <f>900-E7</f>
        <v/>
      </c>
      <c r="G7" s="15">
        <f>E7/900</f>
        <v/>
      </c>
      <c r="H7" s="16">
        <f>IF(G7&gt;=1, "100.0% (Package Over)", TEXT(MIN(G7*100, 99.9), "0.0") &amp; "%")</f>
        <v/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7" t="n">
        <v>4</v>
      </c>
      <c r="B8" s="17" t="inlineStr">
        <is>
          <t>14/10/2025</t>
        </is>
      </c>
      <c r="C8" s="18" t="n">
        <v>60</v>
      </c>
      <c r="D8" s="18" t="inlineStr">
        <is>
          <t>Ritika</t>
        </is>
      </c>
      <c r="E8" s="19">
        <f>E7+C8</f>
        <v/>
      </c>
      <c r="F8" s="19">
        <f>900-E8</f>
        <v/>
      </c>
      <c r="G8" s="20">
        <f>E8/900</f>
        <v/>
      </c>
      <c r="H8" s="16">
        <f>IF(G8&gt;=1, "100.0% (Package Over)", TEXT(MIN(G8*100, 99.9), "0.0") &amp; "%")</f>
        <v/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>
        <v>5</v>
      </c>
      <c r="B9" s="12" t="inlineStr">
        <is>
          <t>11/11/2025</t>
        </is>
      </c>
      <c r="C9" s="13" t="n">
        <v>60</v>
      </c>
      <c r="D9" s="13" t="inlineStr">
        <is>
          <t>Sneha</t>
        </is>
      </c>
      <c r="E9" s="14">
        <f>E8+C9</f>
        <v/>
      </c>
      <c r="F9" s="14">
        <f>900-E9</f>
        <v/>
      </c>
      <c r="G9" s="15">
        <f>E9/900</f>
        <v/>
      </c>
      <c r="H9" s="16">
        <f>IF(G9&gt;=1, "100.0% (Package Over)", TEXT(MIN(G9*100, 99.9), "0.0") &amp; "%")</f>
        <v/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7" t="n">
        <v>6</v>
      </c>
      <c r="B10" s="17" t="inlineStr">
        <is>
          <t>24/12/2025</t>
        </is>
      </c>
      <c r="C10" s="18" t="n">
        <v>30</v>
      </c>
      <c r="D10" s="18" t="inlineStr">
        <is>
          <t>Ritika</t>
        </is>
      </c>
      <c r="E10" s="19">
        <f>E9+C10</f>
        <v/>
      </c>
      <c r="F10" s="19">
        <f>900-E10</f>
        <v/>
      </c>
      <c r="G10" s="20">
        <f>E10/900</f>
        <v/>
      </c>
      <c r="H10" s="16">
        <f>IF(G10&gt;=1, "100.0% (Package Over)", TEXT(MIN(G10*100, 99.9), "0.0") &amp; "%")</f>
        <v/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2" t="n">
        <v>7</v>
      </c>
      <c r="B11" s="12" t="inlineStr">
        <is>
          <t>01/01/2026</t>
        </is>
      </c>
      <c r="C11" s="13" t="n">
        <v>90</v>
      </c>
      <c r="D11" s="13" t="inlineStr">
        <is>
          <t>Ritika</t>
        </is>
      </c>
      <c r="E11" s="14">
        <f>E10+C11</f>
        <v/>
      </c>
      <c r="F11" s="14">
        <f>900-E11</f>
        <v/>
      </c>
      <c r="G11" s="15">
        <f>E11/900</f>
        <v/>
      </c>
      <c r="H11" s="16">
        <f>IF(G11&gt;=1, "100.0% (Package Over)", TEXT(MIN(G11*100, 99.9), "0.0") &amp; "%")</f>
        <v/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7" t="n">
        <v>8</v>
      </c>
      <c r="B12" s="17" t="inlineStr">
        <is>
          <t>30/01/2026</t>
        </is>
      </c>
      <c r="C12" s="18" t="n">
        <v>60</v>
      </c>
      <c r="D12" s="18" t="inlineStr">
        <is>
          <t>Sheelam</t>
        </is>
      </c>
      <c r="E12" s="19">
        <f>E11+C12</f>
        <v/>
      </c>
      <c r="F12" s="19">
        <f>900-E12</f>
        <v/>
      </c>
      <c r="G12" s="20">
        <f>E12/900</f>
        <v/>
      </c>
      <c r="H12" s="16">
        <f>IF(G12&gt;=1, "100.0% (Package Over)", TEXT(MIN(G12*100, 99.9), "0.0") &amp; "%")</f>
        <v/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2" t="n">
        <v>9</v>
      </c>
      <c r="B13" s="12" t="inlineStr">
        <is>
          <t>24/04/2026</t>
        </is>
      </c>
      <c r="C13" s="13" t="n">
        <v>30</v>
      </c>
      <c r="D13" s="13" t="inlineStr">
        <is>
          <t>Daliya</t>
        </is>
      </c>
      <c r="E13" s="14">
        <f>E12+C13</f>
        <v/>
      </c>
      <c r="F13" s="14">
        <f>900-E13</f>
        <v/>
      </c>
      <c r="G13" s="15">
        <f>E13/900</f>
        <v/>
      </c>
      <c r="H13" s="16">
        <f>IF(G13&gt;=1, "100.0% (Package Over)", TEXT(MIN(G13*100, 99.9), "0.0") &amp; "%")</f>
        <v/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1" min="1" max="1"/>
    <col width="14" customWidth="1" style="21" min="2" max="2"/>
    <col width="22" customWidth="1" style="21" min="3" max="3"/>
    <col width="30" customWidth="1" style="21" min="4" max="4"/>
    <col width="18" customWidth="1" style="21" min="5" max="6"/>
    <col width="20" customWidth="1" style="21" min="7" max="7"/>
    <col width="24" customWidth="1" style="21" min="8" max="8"/>
  </cols>
  <sheetData>
    <row r="1">
      <c r="A1" s="1" t="inlineStr">
        <is>
          <t>CLIENT SESSION TRACKER: MR. SUBRATA MANDAL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5" t="inlineStr">
        <is>
          <t>Start Date: 14/06/2025  |  Package Details: Pkg 1 (900m) + Pkg 2 (420m) + Pkg 3 (420m) + Pkg 4 (420m) + Pkg 5 (420m)  |  Total Package Capacity: 2580 Mins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Session No.</t>
        </is>
      </c>
      <c r="B4" s="8" t="inlineStr">
        <is>
          <t>Session Date</t>
        </is>
      </c>
      <c r="C4" s="8" t="inlineStr">
        <is>
          <t>Duration (Mins/Value)</t>
        </is>
      </c>
      <c r="D4" s="8" t="inlineStr">
        <is>
          <t>Therapist / Details</t>
        </is>
      </c>
      <c r="E4" s="8" t="inlineStr">
        <is>
          <t>Cumulative Usage</t>
        </is>
      </c>
      <c r="F4" s="8" t="inlineStr">
        <is>
          <t>Remaining Balance</t>
        </is>
      </c>
      <c r="G4" s="8" t="inlineStr">
        <is>
          <t>% Package Consumed</t>
        </is>
      </c>
      <c r="H4" s="8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n">
        <v>1</v>
      </c>
      <c r="B5" s="7" t="inlineStr">
        <is>
          <t>14/06/2025</t>
        </is>
      </c>
      <c r="C5" s="7" t="n">
        <v>60</v>
      </c>
      <c r="D5" s="9" t="inlineStr">
        <is>
          <t>Riya (Pkg 1)</t>
        </is>
      </c>
      <c r="E5" s="7">
        <f>C5</f>
        <v/>
      </c>
      <c r="F5" s="7">
        <f>2580-E5</f>
        <v/>
      </c>
      <c r="G5" s="11">
        <f>E5/2580</f>
        <v/>
      </c>
      <c r="H5" s="7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7" t="n">
        <v>2</v>
      </c>
      <c r="B6" s="7" t="inlineStr">
        <is>
          <t>16/06/2025</t>
        </is>
      </c>
      <c r="C6" s="7" t="n">
        <v>90</v>
      </c>
      <c r="D6" s="9" t="inlineStr">
        <is>
          <t>Riya</t>
        </is>
      </c>
      <c r="E6" s="7">
        <f>E5+C6</f>
        <v/>
      </c>
      <c r="F6" s="7">
        <f>2580-E6</f>
        <v/>
      </c>
      <c r="G6" s="11">
        <f>E6/2580</f>
        <v/>
      </c>
      <c r="H6" s="7">
        <f>IF(G6&gt;=1, "100.0% (Package Over)", TEXT(MIN(G6*100, 99.9), "0.0") &amp; "%")</f>
        <v/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n">
        <v>3</v>
      </c>
      <c r="B7" s="7" t="inlineStr">
        <is>
          <t>21/06/2025</t>
        </is>
      </c>
      <c r="C7" s="7" t="n">
        <v>120</v>
      </c>
      <c r="D7" s="9" t="inlineStr">
        <is>
          <t>Ritika</t>
        </is>
      </c>
      <c r="E7" s="7">
        <f>E6+C7</f>
        <v/>
      </c>
      <c r="F7" s="7">
        <f>2580-E7</f>
        <v/>
      </c>
      <c r="G7" s="11">
        <f>E7/2580</f>
        <v/>
      </c>
      <c r="H7" s="7">
        <f>IF(G7&gt;=1, "100.0% (Package Over)", TEXT(MIN(G7*100, 99.9), "0.0") &amp; "%")</f>
        <v/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7" t="n">
        <v>4</v>
      </c>
      <c r="B8" s="7" t="inlineStr">
        <is>
          <t>23/06/2025</t>
        </is>
      </c>
      <c r="C8" s="7" t="n">
        <v>60</v>
      </c>
      <c r="D8" s="9" t="inlineStr">
        <is>
          <t>Soma</t>
        </is>
      </c>
      <c r="E8" s="7">
        <f>E7+C8</f>
        <v/>
      </c>
      <c r="F8" s="7">
        <f>2580-E8</f>
        <v/>
      </c>
      <c r="G8" s="11">
        <f>E8/2580</f>
        <v/>
      </c>
      <c r="H8" s="7">
        <f>IF(G8&gt;=1, "100.0% (Package Over)", TEXT(MIN(G8*100, 99.9), "0.0") &amp; "%")</f>
        <v/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n">
        <v>5</v>
      </c>
      <c r="B9" s="7" t="inlineStr">
        <is>
          <t>24/06/2025</t>
        </is>
      </c>
      <c r="C9" s="7" t="n">
        <v>90</v>
      </c>
      <c r="D9" s="9" t="inlineStr">
        <is>
          <t>Ritika</t>
        </is>
      </c>
      <c r="E9" s="7">
        <f>E8+C9</f>
        <v/>
      </c>
      <c r="F9" s="7">
        <f>2580-E9</f>
        <v/>
      </c>
      <c r="G9" s="11">
        <f>E9/2580</f>
        <v/>
      </c>
      <c r="H9" s="7">
        <f>IF(G9&gt;=1, "100.0% (Package Over)", TEXT(MIN(G9*100, 99.9), "0.0") &amp; "%")</f>
        <v/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7" t="n">
        <v>6</v>
      </c>
      <c r="B10" s="7" t="inlineStr">
        <is>
          <t>25/06/2025</t>
        </is>
      </c>
      <c r="C10" s="7" t="n">
        <v>90</v>
      </c>
      <c r="D10" s="9" t="inlineStr">
        <is>
          <t>Soma</t>
        </is>
      </c>
      <c r="E10" s="7">
        <f>E9+C10</f>
        <v/>
      </c>
      <c r="F10" s="7">
        <f>2580-E10</f>
        <v/>
      </c>
      <c r="G10" s="11">
        <f>E10/2580</f>
        <v/>
      </c>
      <c r="H10" s="7">
        <f>IF(G10&gt;=1, "100.0% (Package Over)", TEXT(MIN(G10*100, 99.9), "0.0") &amp; "%")</f>
        <v/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n">
        <v>7</v>
      </c>
      <c r="B11" s="7" t="inlineStr">
        <is>
          <t>01/07/2025</t>
        </is>
      </c>
      <c r="C11" s="7" t="n">
        <v>120</v>
      </c>
      <c r="D11" s="9" t="inlineStr">
        <is>
          <t>Ritika</t>
        </is>
      </c>
      <c r="E11" s="7">
        <f>E10+C11</f>
        <v/>
      </c>
      <c r="F11" s="7">
        <f>2580-E11</f>
        <v/>
      </c>
      <c r="G11" s="11">
        <f>E11/2580</f>
        <v/>
      </c>
      <c r="H11" s="7">
        <f>IF(G11&gt;=1, "100.0% (Package Over)", TEXT(MIN(G11*100, 99.9), "0.0") &amp; "%")</f>
        <v/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n">
        <v>8</v>
      </c>
      <c r="B12" s="7" t="inlineStr">
        <is>
          <t>02/07/2025</t>
        </is>
      </c>
      <c r="C12" s="7" t="n">
        <v>60</v>
      </c>
      <c r="D12" s="9" t="inlineStr">
        <is>
          <t>Ritika</t>
        </is>
      </c>
      <c r="E12" s="7">
        <f>E11+C12</f>
        <v/>
      </c>
      <c r="F12" s="7">
        <f>2580-E12</f>
        <v/>
      </c>
      <c r="G12" s="11">
        <f>E12/2580</f>
        <v/>
      </c>
      <c r="H12" s="7">
        <f>IF(G12&gt;=1, "100.0% (Package Over)", TEXT(MIN(G12*100, 99.9), "0.0") &amp; "%")</f>
        <v/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n">
        <v>9</v>
      </c>
      <c r="B13" s="7" t="inlineStr">
        <is>
          <t>11/07/2025</t>
        </is>
      </c>
      <c r="C13" s="7" t="n">
        <v>120</v>
      </c>
      <c r="D13" s="9" t="inlineStr">
        <is>
          <t>Ritika</t>
        </is>
      </c>
      <c r="E13" s="7">
        <f>E12+C13</f>
        <v/>
      </c>
      <c r="F13" s="7">
        <f>2580-E13</f>
        <v/>
      </c>
      <c r="G13" s="11">
        <f>E13/2580</f>
        <v/>
      </c>
      <c r="H13" s="7">
        <f>IF(G13&gt;=1, "100.0% (Package Over)", TEXT(MIN(G13*100, 99.9), "0.0") &amp; "%")</f>
        <v/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n">
        <v>10</v>
      </c>
      <c r="B14" s="7" t="inlineStr">
        <is>
          <t>18/07/2025</t>
        </is>
      </c>
      <c r="C14" s="7" t="n">
        <v>60</v>
      </c>
      <c r="D14" s="9" t="inlineStr">
        <is>
          <t>Smrita</t>
        </is>
      </c>
      <c r="E14" s="7">
        <f>E13+C14</f>
        <v/>
      </c>
      <c r="F14" s="7">
        <f>2580-E14</f>
        <v/>
      </c>
      <c r="G14" s="11">
        <f>E14/2580</f>
        <v/>
      </c>
      <c r="H14" s="7">
        <f>IF(G14&gt;=1, "100.0% (Package Over)", TEXT(MIN(G14*100, 99.9), "0.0") &amp; "%")</f>
        <v/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n">
        <v>11</v>
      </c>
      <c r="B15" s="7" t="inlineStr">
        <is>
          <t>21/08/2025</t>
        </is>
      </c>
      <c r="C15" s="7" t="n">
        <v>30</v>
      </c>
      <c r="D15" s="9" t="inlineStr">
        <is>
          <t>Soma (Pkg 2)</t>
        </is>
      </c>
      <c r="E15" s="7">
        <f>E14+C15</f>
        <v/>
      </c>
      <c r="F15" s="7">
        <f>2580-E15</f>
        <v/>
      </c>
      <c r="G15" s="11">
        <f>E15/2580</f>
        <v/>
      </c>
      <c r="H15" s="7">
        <f>IF(G15&gt;=1, "100.0% (Package Over)", TEXT(MIN(G15*100, 99.9), "0.0") &amp; "%")</f>
        <v/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n">
        <v>12</v>
      </c>
      <c r="B16" s="7" t="inlineStr">
        <is>
          <t>27/08/2025</t>
        </is>
      </c>
      <c r="C16" s="7" t="n">
        <v>60</v>
      </c>
      <c r="D16" s="9" t="inlineStr">
        <is>
          <t>Barsha</t>
        </is>
      </c>
      <c r="E16" s="7">
        <f>E15+C16</f>
        <v/>
      </c>
      <c r="F16" s="7">
        <f>2580-E16</f>
        <v/>
      </c>
      <c r="G16" s="11">
        <f>E16/2580</f>
        <v/>
      </c>
      <c r="H16" s="7">
        <f>IF(G16&gt;=1, "100.0% (Package Over)", TEXT(MIN(G16*100, 99.9), "0.0") &amp; "%")</f>
        <v/>
      </c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n">
        <v>13</v>
      </c>
      <c r="B17" s="7" t="inlineStr">
        <is>
          <t>11/09/2025</t>
        </is>
      </c>
      <c r="C17" s="7" t="n">
        <v>90</v>
      </c>
      <c r="D17" s="9" t="inlineStr">
        <is>
          <t>Suparna</t>
        </is>
      </c>
      <c r="E17" s="7">
        <f>E16+C17</f>
        <v/>
      </c>
      <c r="F17" s="7">
        <f>2580-E17</f>
        <v/>
      </c>
      <c r="G17" s="11">
        <f>E17/2580</f>
        <v/>
      </c>
      <c r="H17" s="7">
        <f>IF(G17&gt;=1, "100.0% (Package Over)", TEXT(MIN(G17*100, 99.9), "0.0") &amp; "%")</f>
        <v/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n">
        <v>14</v>
      </c>
      <c r="B18" s="7" t="inlineStr">
        <is>
          <t>13/09/2025</t>
        </is>
      </c>
      <c r="C18" s="7" t="n">
        <v>150</v>
      </c>
      <c r="D18" s="9" t="inlineStr">
        <is>
          <t>Suparna (3:30 - 6:00)</t>
        </is>
      </c>
      <c r="E18" s="7">
        <f>E17+C18</f>
        <v/>
      </c>
      <c r="F18" s="7">
        <f>2580-E18</f>
        <v/>
      </c>
      <c r="G18" s="11">
        <f>E18/2580</f>
        <v/>
      </c>
      <c r="H18" s="7">
        <f>IF(G18&gt;=1, "100.0% (Package Over)", TEXT(MIN(G18*100, 99.9), "0.0") &amp; "%")</f>
        <v/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n">
        <v>15</v>
      </c>
      <c r="B19" s="7" t="inlineStr">
        <is>
          <t>17/09/2025</t>
        </is>
      </c>
      <c r="C19" s="7" t="n">
        <v>60</v>
      </c>
      <c r="D19" s="9" t="inlineStr">
        <is>
          <t>Suparna</t>
        </is>
      </c>
      <c r="E19" s="7">
        <f>E18+C19</f>
        <v/>
      </c>
      <c r="F19" s="7">
        <f>2580-E19</f>
        <v/>
      </c>
      <c r="G19" s="11">
        <f>E19/2580</f>
        <v/>
      </c>
      <c r="H19" s="7">
        <f>IF(G19&gt;=1, "100.0% (Package Over)", TEXT(MIN(G19*100, 99.9), "0.0") &amp; "%")</f>
        <v/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n">
        <v>16</v>
      </c>
      <c r="B20" s="7" t="inlineStr">
        <is>
          <t>11/10/2025</t>
        </is>
      </c>
      <c r="C20" s="7" t="n">
        <v>30</v>
      </c>
      <c r="D20" s="9" t="inlineStr">
        <is>
          <t>Ritika (Pkg 2 Over)</t>
        </is>
      </c>
      <c r="E20" s="7">
        <f>E19+C20</f>
        <v/>
      </c>
      <c r="F20" s="7">
        <f>2580-E20</f>
        <v/>
      </c>
      <c r="G20" s="11">
        <f>E20/2580</f>
        <v/>
      </c>
      <c r="H20" s="7">
        <f>IF(G20&gt;=1, "100.0% (Package Over)", TEXT(MIN(G20*100, 99.9), "0.0") &amp; "%")</f>
        <v/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7" t="n">
        <v>17</v>
      </c>
      <c r="B21" s="7" t="inlineStr">
        <is>
          <t>11/10/2025</t>
        </is>
      </c>
      <c r="C21" s="7" t="n">
        <v>60</v>
      </c>
      <c r="D21" s="9" t="inlineStr">
        <is>
          <t>Ritika (Pkg 3)</t>
        </is>
      </c>
      <c r="E21" s="7">
        <f>E20+C21</f>
        <v/>
      </c>
      <c r="F21" s="7">
        <f>2580-E21</f>
        <v/>
      </c>
      <c r="G21" s="11">
        <f>E21/2580</f>
        <v/>
      </c>
      <c r="H21" s="7">
        <f>IF(G21&gt;=1, "100.0% (Package Over)", TEXT(MIN(G21*100, 99.9), "0.0") &amp; "%")</f>
        <v/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7" t="n">
        <v>18</v>
      </c>
      <c r="B22" s="7" t="inlineStr">
        <is>
          <t>30/10/2025</t>
        </is>
      </c>
      <c r="C22" s="7" t="n">
        <v>60</v>
      </c>
      <c r="D22" s="9" t="inlineStr">
        <is>
          <t>Soma</t>
        </is>
      </c>
      <c r="E22" s="7">
        <f>E21+C22</f>
        <v/>
      </c>
      <c r="F22" s="7">
        <f>2580-E22</f>
        <v/>
      </c>
      <c r="G22" s="11">
        <f>E22/2580</f>
        <v/>
      </c>
      <c r="H22" s="7">
        <f>IF(G22&gt;=1, "100.0% (Package Over)", TEXT(MIN(G22*100, 99.9), "0.0") &amp; "%")</f>
        <v/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7" t="n">
        <v>19</v>
      </c>
      <c r="B23" s="7" t="inlineStr">
        <is>
          <t>18/10/2025</t>
        </is>
      </c>
      <c r="C23" s="7" t="n">
        <v>60</v>
      </c>
      <c r="D23" s="9" t="inlineStr">
        <is>
          <t>Sneha</t>
        </is>
      </c>
      <c r="E23" s="7">
        <f>E22+C23</f>
        <v/>
      </c>
      <c r="F23" s="7">
        <f>2580-E23</f>
        <v/>
      </c>
      <c r="G23" s="11">
        <f>E23/2580</f>
        <v/>
      </c>
      <c r="H23" s="7">
        <f>IF(G23&gt;=1, "100.0% (Package Over)", TEXT(MIN(G23*100, 99.9), "0.0") &amp; "%")</f>
        <v/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7" t="n">
        <v>20</v>
      </c>
      <c r="B24" s="7" t="inlineStr">
        <is>
          <t>28/01/2026</t>
        </is>
      </c>
      <c r="C24" s="7" t="n">
        <v>60</v>
      </c>
      <c r="D24" s="9" t="inlineStr">
        <is>
          <t>Shilpa</t>
        </is>
      </c>
      <c r="E24" s="7">
        <f>E23+C24</f>
        <v/>
      </c>
      <c r="F24" s="7">
        <f>2580-E24</f>
        <v/>
      </c>
      <c r="G24" s="11">
        <f>E24/2580</f>
        <v/>
      </c>
      <c r="H24" s="7">
        <f>IF(G24&gt;=1, "100.0% (Package Over)", TEXT(MIN(G24*100, 99.9), "0.0") &amp; "%")</f>
        <v/>
      </c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7" t="n">
        <v>21</v>
      </c>
      <c r="B25" s="7" t="inlineStr">
        <is>
          <t>14/04/2026</t>
        </is>
      </c>
      <c r="C25" s="7" t="n">
        <v>60</v>
      </c>
      <c r="D25" s="9" t="inlineStr">
        <is>
          <t>Isha</t>
        </is>
      </c>
      <c r="E25" s="7">
        <f>E24+C25</f>
        <v/>
      </c>
      <c r="F25" s="7">
        <f>2580-E25</f>
        <v/>
      </c>
      <c r="G25" s="11">
        <f>E25/2580</f>
        <v/>
      </c>
      <c r="H25" s="7">
        <f>IF(G25&gt;=1, "100.0% (Package Over)", TEXT(MIN(G25*100, 99.9), "0.0") &amp; "%")</f>
        <v/>
      </c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7" t="n">
        <v>22</v>
      </c>
      <c r="B26" s="7" t="inlineStr">
        <is>
          <t>10/06/2026</t>
        </is>
      </c>
      <c r="C26" s="7" t="n">
        <v>60</v>
      </c>
      <c r="D26" s="9" t="inlineStr">
        <is>
          <t>Daliya (Foot)</t>
        </is>
      </c>
      <c r="E26" s="7">
        <f>E25+C26</f>
        <v/>
      </c>
      <c r="F26" s="7">
        <f>2580-E26</f>
        <v/>
      </c>
      <c r="G26" s="11">
        <f>E26/2580</f>
        <v/>
      </c>
      <c r="H26" s="7">
        <f>IF(G26&gt;=1, "100.0% (Package Over)", TEXT(MIN(G26*100, 99.9), "0.0") &amp; "%")</f>
        <v/>
      </c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7" t="n">
        <v>23</v>
      </c>
      <c r="B27" s="7" t="inlineStr">
        <is>
          <t>01/07/2026</t>
        </is>
      </c>
      <c r="C27" s="7" t="n">
        <v>60</v>
      </c>
      <c r="D27" s="9" t="inlineStr">
        <is>
          <t>Bipasha (FHNS - Pkg 3 Over)</t>
        </is>
      </c>
      <c r="E27" s="7">
        <f>E26+C27</f>
        <v/>
      </c>
      <c r="F27" s="7">
        <f>2580-E27</f>
        <v/>
      </c>
      <c r="G27" s="11">
        <f>E27/2580</f>
        <v/>
      </c>
      <c r="H27" s="7">
        <f>IF(G27&gt;=1, "100.0% (Package Over)", TEXT(MIN(G27*100, 99.9), "0.0") &amp; "%")</f>
        <v/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3" customWidth="1" style="21" min="1" max="1"/>
    <col width="16" customWidth="1" style="21" min="2" max="2"/>
    <col width="25" customWidth="1" style="21" min="3" max="3"/>
    <col width="23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MISS RITUPARNA BANERJEE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17/06/2025  |  Package Details: Paid 5k for 7k pkg  |  Total Package Capacity: 300 Mins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09/08/2025</t>
        </is>
      </c>
      <c r="C5" s="13" t="n">
        <v>90</v>
      </c>
      <c r="D5" s="13" t="inlineStr">
        <is>
          <t>Soma / Tiya</t>
        </is>
      </c>
      <c r="E5" s="14">
        <f>C5</f>
        <v/>
      </c>
      <c r="F5" s="14">
        <f>300-E5</f>
        <v/>
      </c>
      <c r="G5" s="15">
        <f>E5/300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7" t="n">
        <v>2</v>
      </c>
      <c r="B6" s="17" t="inlineStr">
        <is>
          <t>09/08/2025</t>
        </is>
      </c>
      <c r="C6" s="18" t="n">
        <v>90</v>
      </c>
      <c r="D6" s="18" t="inlineStr">
        <is>
          <t>Pooja</t>
        </is>
      </c>
      <c r="E6" s="19">
        <f>E5+C6</f>
        <v/>
      </c>
      <c r="F6" s="19">
        <f>300-E6</f>
        <v/>
      </c>
      <c r="G6" s="20">
        <f>E6/300</f>
        <v/>
      </c>
      <c r="H6" s="16">
        <f>IF(G6&gt;=1, "100.0% (Package Over)", TEXT(MIN(G6*100, 99.9), "0.0") &amp; "%")</f>
        <v/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2" customWidth="1" style="21" min="1" max="1"/>
    <col width="16" customWidth="1" style="21" min="2" max="2"/>
    <col width="25" customWidth="1" style="21" min="3" max="3"/>
    <col width="23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MR. MURALI PANIKAR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20/06/2025  |  Package Details: 5k / 7.5k Package  |  Total Package Capacity: 360 Mins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20/06/2025</t>
        </is>
      </c>
      <c r="C5" s="13" t="n">
        <v>60</v>
      </c>
      <c r="D5" s="13" t="inlineStr">
        <is>
          <t>Ritika</t>
        </is>
      </c>
      <c r="E5" s="14">
        <f>C5</f>
        <v/>
      </c>
      <c r="F5" s="14">
        <f>360-E5</f>
        <v/>
      </c>
      <c r="G5" s="15">
        <f>E5/360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7" t="n">
        <v>2</v>
      </c>
      <c r="B6" s="17" t="inlineStr">
        <is>
          <t>16/08/2025</t>
        </is>
      </c>
      <c r="C6" s="18" t="n">
        <v>60</v>
      </c>
      <c r="D6" s="18" t="inlineStr">
        <is>
          <t>Tiya</t>
        </is>
      </c>
      <c r="E6" s="19">
        <f>E5+C6</f>
        <v/>
      </c>
      <c r="F6" s="19">
        <f>360-E6</f>
        <v/>
      </c>
      <c r="G6" s="20">
        <f>E6/360</f>
        <v/>
      </c>
      <c r="H6" s="16">
        <f>IF(G6&gt;=1, "100.0% (Package Over)", TEXT(MIN(G6*100, 99.9), "0.0") &amp; "%")</f>
        <v/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n">
        <v>3</v>
      </c>
      <c r="B7" s="12" t="inlineStr">
        <is>
          <t>26/10/2025</t>
        </is>
      </c>
      <c r="C7" s="13" t="n">
        <v>140</v>
      </c>
      <c r="D7" s="13" t="inlineStr">
        <is>
          <t>Ritika</t>
        </is>
      </c>
      <c r="E7" s="14">
        <f>E6+C7</f>
        <v/>
      </c>
      <c r="F7" s="14">
        <f>360-E7</f>
        <v/>
      </c>
      <c r="G7" s="15">
        <f>E7/360</f>
        <v/>
      </c>
      <c r="H7" s="16">
        <f>IF(G7&gt;=1, "100.0% (Package Over)", TEXT(MIN(G7*100, 99.9), "0.0") &amp; "%")</f>
        <v/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7" t="n">
        <v>4</v>
      </c>
      <c r="B8" s="17" t="inlineStr">
        <is>
          <t>29/11/2025</t>
        </is>
      </c>
      <c r="C8" s="18" t="n">
        <v>90</v>
      </c>
      <c r="D8" s="18" t="inlineStr">
        <is>
          <t>Sneha</t>
        </is>
      </c>
      <c r="E8" s="19">
        <f>E7+C8</f>
        <v/>
      </c>
      <c r="F8" s="19">
        <f>360-E8</f>
        <v/>
      </c>
      <c r="G8" s="20">
        <f>E8/360</f>
        <v/>
      </c>
      <c r="H8" s="16">
        <f>IF(G8&gt;=1, "100.0% (Package Over)", TEXT(MIN(G8*100, 99.9), "0.0") &amp; "%")</f>
        <v/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>
        <v>5</v>
      </c>
      <c r="B9" s="12" t="inlineStr">
        <is>
          <t>14/12/2025</t>
        </is>
      </c>
      <c r="C9" s="13" t="n">
        <v>60</v>
      </c>
      <c r="D9" s="13" t="inlineStr">
        <is>
          <t>HNS Foot / Sneha</t>
        </is>
      </c>
      <c r="E9" s="14">
        <f>E8+C9</f>
        <v/>
      </c>
      <c r="F9" s="14">
        <f>360-E9</f>
        <v/>
      </c>
      <c r="G9" s="15">
        <f>E9/360</f>
        <v/>
      </c>
      <c r="H9" s="16">
        <f>IF(G9&gt;=1, "100.0% (Package Over)", TEXT(MIN(G9*100, 99.9), "0.0") &amp; "%")</f>
        <v/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3" customWidth="1" style="21" min="1" max="1"/>
    <col width="16" customWidth="1" style="21" min="2" max="2"/>
    <col width="25" customWidth="1" style="21" min="3" max="3"/>
    <col width="23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MR. SUPRATIM ROY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20/06/2025  |  Package Details: Paid 5k for 7k Pkg  |  Total Package Capacity: 480 Mins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20/06/2025</t>
        </is>
      </c>
      <c r="C5" s="13" t="n">
        <v>60</v>
      </c>
      <c r="D5" s="13" t="inlineStr">
        <is>
          <t>Ritika</t>
        </is>
      </c>
      <c r="E5" s="14">
        <f>C5</f>
        <v/>
      </c>
      <c r="F5" s="14">
        <f>480-E5</f>
        <v/>
      </c>
      <c r="G5" s="15">
        <f>E5/480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7" t="n">
        <v>2</v>
      </c>
      <c r="B6" s="17" t="inlineStr">
        <is>
          <t>22/06/2025</t>
        </is>
      </c>
      <c r="C6" s="18" t="n">
        <v>60</v>
      </c>
      <c r="D6" s="18" t="inlineStr">
        <is>
          <t>Ritika</t>
        </is>
      </c>
      <c r="E6" s="19">
        <f>E5+C6</f>
        <v/>
      </c>
      <c r="F6" s="19">
        <f>480-E6</f>
        <v/>
      </c>
      <c r="G6" s="20">
        <f>E6/480</f>
        <v/>
      </c>
      <c r="H6" s="16">
        <f>IF(G6&gt;=1, "100.0% (Package Over)", TEXT(MIN(G6*100, 99.9), "0.0") &amp; "%")</f>
        <v/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n">
        <v>3</v>
      </c>
      <c r="B7" s="12" t="inlineStr">
        <is>
          <t>29/06/2025</t>
        </is>
      </c>
      <c r="C7" s="13" t="n">
        <v>60</v>
      </c>
      <c r="D7" s="13" t="inlineStr">
        <is>
          <t>Ritika</t>
        </is>
      </c>
      <c r="E7" s="14">
        <f>E6+C7</f>
        <v/>
      </c>
      <c r="F7" s="14">
        <f>480-E7</f>
        <v/>
      </c>
      <c r="G7" s="15">
        <f>E7/480</f>
        <v/>
      </c>
      <c r="H7" s="16">
        <f>IF(G7&gt;=1, "100.0% (Package Over)", TEXT(MIN(G7*100, 99.9), "0.0") &amp; "%")</f>
        <v/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7" t="n">
        <v>4</v>
      </c>
      <c r="B8" s="17" t="inlineStr">
        <is>
          <t>10/07/2025</t>
        </is>
      </c>
      <c r="C8" s="18" t="n">
        <v>90</v>
      </c>
      <c r="D8" s="18" t="inlineStr">
        <is>
          <t>Soma</t>
        </is>
      </c>
      <c r="E8" s="19">
        <f>E7+C8</f>
        <v/>
      </c>
      <c r="F8" s="19">
        <f>480-E8</f>
        <v/>
      </c>
      <c r="G8" s="20">
        <f>E8/480</f>
        <v/>
      </c>
      <c r="H8" s="16">
        <f>IF(G8&gt;=1, "100.0% (Package Over)", TEXT(MIN(G8*100, 99.9), "0.0") &amp; "%")</f>
        <v/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>
        <v>5</v>
      </c>
      <c r="B9" s="12" t="inlineStr">
        <is>
          <t>10/07/2025</t>
        </is>
      </c>
      <c r="C9" s="13" t="n">
        <v>90</v>
      </c>
      <c r="D9" s="13" t="inlineStr">
        <is>
          <t>Soma / Pedicure</t>
        </is>
      </c>
      <c r="E9" s="14">
        <f>E8+C9</f>
        <v/>
      </c>
      <c r="F9" s="14">
        <f>480-E9</f>
        <v/>
      </c>
      <c r="G9" s="15">
        <f>E9/480</f>
        <v/>
      </c>
      <c r="H9" s="16">
        <f>IF(G9&gt;=1, "100.0% (Package Over)", TEXT(MIN(G9*100, 99.9), "0.0") &amp; "%")</f>
        <v/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7" t="n">
        <v>6</v>
      </c>
      <c r="B10" s="17" t="inlineStr">
        <is>
          <t>28/07/2025</t>
        </is>
      </c>
      <c r="C10" s="18" t="n">
        <v>120</v>
      </c>
      <c r="D10" s="18" t="inlineStr">
        <is>
          <t>Soma</t>
        </is>
      </c>
      <c r="E10" s="19">
        <f>E9+C10</f>
        <v/>
      </c>
      <c r="F10" s="19">
        <f>480-E10</f>
        <v/>
      </c>
      <c r="G10" s="20">
        <f>E10/480</f>
        <v/>
      </c>
      <c r="H10" s="16">
        <f>IF(G10&gt;=1, "100.0% (Package Over)", TEXT(MIN(G10*100, 99.9), "0.0") &amp; "%")</f>
        <v/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2" t="n">
        <v>7</v>
      </c>
      <c r="B11" s="12" t="inlineStr">
        <is>
          <t>28/07/2025</t>
        </is>
      </c>
      <c r="C11" s="13" t="n">
        <v>120</v>
      </c>
      <c r="D11" s="13" t="inlineStr">
        <is>
          <t>Ritika</t>
        </is>
      </c>
      <c r="E11" s="14">
        <f>E10+C11</f>
        <v/>
      </c>
      <c r="F11" s="14">
        <f>480-E11</f>
        <v/>
      </c>
      <c r="G11" s="15">
        <f>E11/480</f>
        <v/>
      </c>
      <c r="H11" s="16">
        <f>IF(G11&gt;=1, "100.0% (Package Over)", TEXT(MIN(G11*100, 99.9), "0.0") &amp; "%")</f>
        <v/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7" t="n">
        <v>8</v>
      </c>
      <c r="B12" s="17" t="inlineStr">
        <is>
          <t>06/08/2025</t>
        </is>
      </c>
      <c r="C12" s="18" t="n">
        <v>120</v>
      </c>
      <c r="D12" s="18" t="inlineStr">
        <is>
          <t>Ritika</t>
        </is>
      </c>
      <c r="E12" s="19">
        <f>E11+C12</f>
        <v/>
      </c>
      <c r="F12" s="19">
        <f>480-E12</f>
        <v/>
      </c>
      <c r="G12" s="20">
        <f>E12/480</f>
        <v/>
      </c>
      <c r="H12" s="16">
        <f>IF(G12&gt;=1, "100.0% (Package Over)", TEXT(MIN(G12*100, 99.9), "0.0") &amp; "%")</f>
        <v/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7" customWidth="1" style="21" min="1" max="1"/>
    <col width="16" customWidth="1" style="21" min="2" max="2"/>
    <col width="25" customWidth="1" style="21" min="3" max="3"/>
    <col width="23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MISS ANINDITA GHOSE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03/07/2025  |  Package Details: Paid 5k for 7k (Not Started Yet)  |  Total Package Capacity: 300 Mins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03/07/2025</t>
        </is>
      </c>
      <c r="C5" s="13" t="n">
        <v>0</v>
      </c>
      <c r="D5" s="13" t="inlineStr">
        <is>
          <t>Not Started</t>
        </is>
      </c>
      <c r="E5" s="14">
        <f>C5</f>
        <v/>
      </c>
      <c r="F5" s="14">
        <f>300-E5</f>
        <v/>
      </c>
      <c r="G5" s="15">
        <f>E5/300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24" customWidth="1" style="21" min="1" max="1"/>
    <col width="16" customWidth="1" style="21" min="2" max="2"/>
    <col width="25" customWidth="1" style="21" min="3" max="3"/>
    <col width="23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MR. ANAND MEHTA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14/07/2025  |  Package Details: Paid 6k for 10 Hours / 5k for 10 Hours  |  Total Package Capacity: 1200 Mins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14/07/2025</t>
        </is>
      </c>
      <c r="C5" s="13" t="n">
        <v>60</v>
      </c>
      <c r="D5" s="13" t="inlineStr">
        <is>
          <t>Soma</t>
        </is>
      </c>
      <c r="E5" s="14">
        <f>C5</f>
        <v/>
      </c>
      <c r="F5" s="14">
        <f>1200-E5</f>
        <v/>
      </c>
      <c r="G5" s="15">
        <f>E5/1200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7" t="n">
        <v>2</v>
      </c>
      <c r="B6" s="17" t="inlineStr">
        <is>
          <t>16/07/2025</t>
        </is>
      </c>
      <c r="C6" s="18" t="n">
        <v>60</v>
      </c>
      <c r="D6" s="18" t="inlineStr">
        <is>
          <t>Ritika</t>
        </is>
      </c>
      <c r="E6" s="19">
        <f>E5+C6</f>
        <v/>
      </c>
      <c r="F6" s="19">
        <f>1200-E6</f>
        <v/>
      </c>
      <c r="G6" s="20">
        <f>E6/1200</f>
        <v/>
      </c>
      <c r="H6" s="16">
        <f>IF(G6&gt;=1, "100.0% (Package Over)", TEXT(MIN(G6*100, 99.9), "0.0") &amp; "%")</f>
        <v/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n">
        <v>3</v>
      </c>
      <c r="B7" s="12" t="inlineStr">
        <is>
          <t>21/07/2025</t>
        </is>
      </c>
      <c r="C7" s="13" t="n">
        <v>60</v>
      </c>
      <c r="D7" s="13" t="inlineStr">
        <is>
          <t>Ritika</t>
        </is>
      </c>
      <c r="E7" s="14">
        <f>E6+C7</f>
        <v/>
      </c>
      <c r="F7" s="14">
        <f>1200-E7</f>
        <v/>
      </c>
      <c r="G7" s="15">
        <f>E7/1200</f>
        <v/>
      </c>
      <c r="H7" s="16">
        <f>IF(G7&gt;=1, "100.0% (Package Over)", TEXT(MIN(G7*100, 99.9), "0.0") &amp; "%")</f>
        <v/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7" t="n">
        <v>4</v>
      </c>
      <c r="B8" s="17" t="inlineStr">
        <is>
          <t>28/07/2025</t>
        </is>
      </c>
      <c r="C8" s="18" t="n">
        <v>60</v>
      </c>
      <c r="D8" s="18" t="inlineStr">
        <is>
          <t>Tiya</t>
        </is>
      </c>
      <c r="E8" s="19">
        <f>E7+C8</f>
        <v/>
      </c>
      <c r="F8" s="19">
        <f>1200-E8</f>
        <v/>
      </c>
      <c r="G8" s="20">
        <f>E8/1200</f>
        <v/>
      </c>
      <c r="H8" s="16">
        <f>IF(G8&gt;=1, "100.0% (Package Over)", TEXT(MIN(G8*100, 99.9), "0.0") &amp; "%")</f>
        <v/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>
        <v>5</v>
      </c>
      <c r="B9" s="12" t="inlineStr">
        <is>
          <t>28/07/2025</t>
        </is>
      </c>
      <c r="C9" s="13" t="n">
        <v>90</v>
      </c>
      <c r="D9" s="13" t="inlineStr">
        <is>
          <t>Soma</t>
        </is>
      </c>
      <c r="E9" s="14">
        <f>E8+C9</f>
        <v/>
      </c>
      <c r="F9" s="14">
        <f>1200-E9</f>
        <v/>
      </c>
      <c r="G9" s="15">
        <f>E9/1200</f>
        <v/>
      </c>
      <c r="H9" s="16">
        <f>IF(G9&gt;=1, "100.0% (Package Over)", TEXT(MIN(G9*100, 99.9), "0.0") &amp; "%")</f>
        <v/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7" t="n">
        <v>6</v>
      </c>
      <c r="B10" s="17" t="inlineStr">
        <is>
          <t>03/09/2025</t>
        </is>
      </c>
      <c r="C10" s="18" t="n">
        <v>60</v>
      </c>
      <c r="D10" s="18" t="inlineStr">
        <is>
          <t>Soma</t>
        </is>
      </c>
      <c r="E10" s="19">
        <f>E9+C10</f>
        <v/>
      </c>
      <c r="F10" s="19">
        <f>1200-E10</f>
        <v/>
      </c>
      <c r="G10" s="20">
        <f>E10/1200</f>
        <v/>
      </c>
      <c r="H10" s="16">
        <f>IF(G10&gt;=1, "100.0% (Package Over)", TEXT(MIN(G10*100, 99.9), "0.0") &amp; "%")</f>
        <v/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2" t="n">
        <v>7</v>
      </c>
      <c r="B11" s="12" t="inlineStr">
        <is>
          <t>10/09/2025</t>
        </is>
      </c>
      <c r="C11" s="13" t="n">
        <v>60</v>
      </c>
      <c r="D11" s="13" t="inlineStr">
        <is>
          <t>Soma</t>
        </is>
      </c>
      <c r="E11" s="14">
        <f>E10+C11</f>
        <v/>
      </c>
      <c r="F11" s="14">
        <f>1200-E11</f>
        <v/>
      </c>
      <c r="G11" s="15">
        <f>E11/1200</f>
        <v/>
      </c>
      <c r="H11" s="16">
        <f>IF(G11&gt;=1, "100.0% (Package Over)", TEXT(MIN(G11*100, 99.9), "0.0") &amp; "%")</f>
        <v/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7" t="n">
        <v>8</v>
      </c>
      <c r="B12" s="17" t="inlineStr">
        <is>
          <t>10/11/2025</t>
        </is>
      </c>
      <c r="C12" s="18" t="n">
        <v>90</v>
      </c>
      <c r="D12" s="18" t="inlineStr">
        <is>
          <t>Ritika</t>
        </is>
      </c>
      <c r="E12" s="19">
        <f>E11+C12</f>
        <v/>
      </c>
      <c r="F12" s="19">
        <f>1200-E12</f>
        <v/>
      </c>
      <c r="G12" s="20">
        <f>E12/1200</f>
        <v/>
      </c>
      <c r="H12" s="16">
        <f>IF(G12&gt;=1, "100.0% (Package Over)", TEXT(MIN(G12*100, 99.9), "0.0") &amp; "%")</f>
        <v/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2" t="n">
        <v>9</v>
      </c>
      <c r="B13" s="12" t="inlineStr">
        <is>
          <t>22/11/2025</t>
        </is>
      </c>
      <c r="C13" s="13" t="n">
        <v>60</v>
      </c>
      <c r="D13" s="13" t="inlineStr">
        <is>
          <t>Sneha</t>
        </is>
      </c>
      <c r="E13" s="14">
        <f>E12+C13</f>
        <v/>
      </c>
      <c r="F13" s="14">
        <f>1200-E13</f>
        <v/>
      </c>
      <c r="G13" s="15">
        <f>E13/1200</f>
        <v/>
      </c>
      <c r="H13" s="16">
        <f>IF(G13&gt;=1, "100.0% (Package Over)", TEXT(MIN(G13*100, 99.9), "0.0") &amp; "%")</f>
        <v/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7" t="n">
        <v>10</v>
      </c>
      <c r="B14" s="17" t="inlineStr">
        <is>
          <t>04/01/2026</t>
        </is>
      </c>
      <c r="C14" s="18" t="n">
        <v>60</v>
      </c>
      <c r="D14" s="18" t="inlineStr">
        <is>
          <t>Riya</t>
        </is>
      </c>
      <c r="E14" s="19">
        <f>E13+C14</f>
        <v/>
      </c>
      <c r="F14" s="19">
        <f>1200-E14</f>
        <v/>
      </c>
      <c r="G14" s="20">
        <f>E14/1200</f>
        <v/>
      </c>
      <c r="H14" s="16">
        <f>IF(G14&gt;=1, "100.0% (Package Over)", TEXT(MIN(G14*100, 99.9), "0.0") &amp; "%")</f>
        <v/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2" t="n">
        <v>11</v>
      </c>
      <c r="B15" s="12" t="inlineStr">
        <is>
          <t>04/01/2026</t>
        </is>
      </c>
      <c r="C15" s="13" t="n">
        <v>60</v>
      </c>
      <c r="D15" s="13" t="inlineStr">
        <is>
          <t>Daliya</t>
        </is>
      </c>
      <c r="E15" s="14">
        <f>E14+C15</f>
        <v/>
      </c>
      <c r="F15" s="14">
        <f>1200-E15</f>
        <v/>
      </c>
      <c r="G15" s="15">
        <f>E15/1200</f>
        <v/>
      </c>
      <c r="H15" s="16">
        <f>IF(G15&gt;=1, "100.0% (Package Over)", TEXT(MIN(G15*100, 99.9), "0.0") &amp; "%")</f>
        <v/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7" t="n">
        <v>12</v>
      </c>
      <c r="B16" s="17" t="inlineStr">
        <is>
          <t>14/01/2026</t>
        </is>
      </c>
      <c r="C16" s="18" t="n">
        <v>60</v>
      </c>
      <c r="D16" s="18" t="inlineStr">
        <is>
          <t>Daliya</t>
        </is>
      </c>
      <c r="E16" s="19">
        <f>E15+C16</f>
        <v/>
      </c>
      <c r="F16" s="19">
        <f>1200-E16</f>
        <v/>
      </c>
      <c r="G16" s="20">
        <f>E16/1200</f>
        <v/>
      </c>
      <c r="H16" s="16">
        <f>IF(G16&gt;=1, "100.0% (Package Over)", TEXT(MIN(G16*100, 99.9), "0.0") &amp; "%")</f>
        <v/>
      </c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2" t="n">
        <v>13</v>
      </c>
      <c r="B17" s="12" t="inlineStr">
        <is>
          <t>14/01/2026</t>
        </is>
      </c>
      <c r="C17" s="13" t="n">
        <v>60</v>
      </c>
      <c r="D17" s="13" t="inlineStr">
        <is>
          <t>Soma</t>
        </is>
      </c>
      <c r="E17" s="14">
        <f>E16+C17</f>
        <v/>
      </c>
      <c r="F17" s="14">
        <f>1200-E17</f>
        <v/>
      </c>
      <c r="G17" s="15">
        <f>E17/1200</f>
        <v/>
      </c>
      <c r="H17" s="16">
        <f>IF(G17&gt;=1, "100.0% (Package Over)", TEXT(MIN(G17*100, 99.9), "0.0") &amp; "%")</f>
        <v/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7" t="n">
        <v>14</v>
      </c>
      <c r="B18" s="17" t="inlineStr">
        <is>
          <t>23/02/2026</t>
        </is>
      </c>
      <c r="C18" s="18" t="n">
        <v>60</v>
      </c>
      <c r="D18" s="18" t="inlineStr">
        <is>
          <t>Isha</t>
        </is>
      </c>
      <c r="E18" s="19">
        <f>E17+C18</f>
        <v/>
      </c>
      <c r="F18" s="19">
        <f>1200-E18</f>
        <v/>
      </c>
      <c r="G18" s="20">
        <f>E18/1200</f>
        <v/>
      </c>
      <c r="H18" s="16">
        <f>IF(G18&gt;=1, "100.0% (Package Over)", TEXT(MIN(G18*100, 99.9), "0.0") &amp; "%")</f>
        <v/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2" t="n">
        <v>15</v>
      </c>
      <c r="B19" s="12" t="inlineStr">
        <is>
          <t>28/02/2026</t>
        </is>
      </c>
      <c r="C19" s="13" t="n">
        <v>60</v>
      </c>
      <c r="D19" s="13" t="inlineStr">
        <is>
          <t>Riya</t>
        </is>
      </c>
      <c r="E19" s="14">
        <f>E18+C19</f>
        <v/>
      </c>
      <c r="F19" s="14">
        <f>1200-E19</f>
        <v/>
      </c>
      <c r="G19" s="15">
        <f>E19/1200</f>
        <v/>
      </c>
      <c r="H19" s="16">
        <f>IF(G19&gt;=1, "100.0% (Package Over)", TEXT(MIN(G19*100, 99.9), "0.0") &amp; "%")</f>
        <v/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7" t="n">
        <v>16</v>
      </c>
      <c r="B20" s="17" t="inlineStr">
        <is>
          <t>27/02/2026</t>
        </is>
      </c>
      <c r="C20" s="18" t="n">
        <v>60</v>
      </c>
      <c r="D20" s="18" t="inlineStr">
        <is>
          <t>Daliya</t>
        </is>
      </c>
      <c r="E20" s="19">
        <f>E19+C20</f>
        <v/>
      </c>
      <c r="F20" s="19">
        <f>1200-E20</f>
        <v/>
      </c>
      <c r="G20" s="20">
        <f>E20/1200</f>
        <v/>
      </c>
      <c r="H20" s="16">
        <f>IF(G20&gt;=1, "100.0% (Package Over)", TEXT(MIN(G20*100, 99.9), "0.0") &amp; "%")</f>
        <v/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12" t="n">
        <v>17</v>
      </c>
      <c r="B21" s="12" t="inlineStr">
        <is>
          <t>28/02/2026</t>
        </is>
      </c>
      <c r="C21" s="13" t="n">
        <v>60</v>
      </c>
      <c r="D21" s="13" t="inlineStr">
        <is>
          <t>Riya</t>
        </is>
      </c>
      <c r="E21" s="14">
        <f>E20+C21</f>
        <v/>
      </c>
      <c r="F21" s="14">
        <f>1200-E21</f>
        <v/>
      </c>
      <c r="G21" s="15">
        <f>E21/1200</f>
        <v/>
      </c>
      <c r="H21" s="16">
        <f>IF(G21&gt;=1, "100.0% (Package Over)", TEXT(MIN(G21*100, 99.9), "0.0") &amp; "%")</f>
        <v/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17" t="n">
        <v>18</v>
      </c>
      <c r="B22" s="17" t="inlineStr">
        <is>
          <t>18/03/2026</t>
        </is>
      </c>
      <c r="C22" s="18" t="n">
        <v>60</v>
      </c>
      <c r="D22" s="18" t="inlineStr">
        <is>
          <t>Soma</t>
        </is>
      </c>
      <c r="E22" s="19">
        <f>E21+C22</f>
        <v/>
      </c>
      <c r="F22" s="19">
        <f>1200-E22</f>
        <v/>
      </c>
      <c r="G22" s="20">
        <f>E22/1200</f>
        <v/>
      </c>
      <c r="H22" s="16">
        <f>IF(G22&gt;=1, "100.0% (Package Over)", TEXT(MIN(G22*100, 99.9), "0.0") &amp; "%")</f>
        <v/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12" t="n">
        <v>19</v>
      </c>
      <c r="B23" s="12" t="inlineStr">
        <is>
          <t>18/03/2026</t>
        </is>
      </c>
      <c r="C23" s="13" t="n">
        <v>60</v>
      </c>
      <c r="D23" s="13" t="inlineStr">
        <is>
          <t>Isha</t>
        </is>
      </c>
      <c r="E23" s="14">
        <f>E22+C23</f>
        <v/>
      </c>
      <c r="F23" s="14">
        <f>1200-E23</f>
        <v/>
      </c>
      <c r="G23" s="15">
        <f>E23/1200</f>
        <v/>
      </c>
      <c r="H23" s="16">
        <f>IF(G23&gt;=1, "100.0% (Package Over)", TEXT(MIN(G23*100, 99.9), "0.0") &amp; "%")</f>
        <v/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6" customWidth="1" style="21" min="1" max="1"/>
    <col width="16" customWidth="1" style="21" min="2" max="2"/>
    <col width="25" customWidth="1" style="21" min="3" max="3"/>
    <col width="23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MR. SUBHABRATA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18/07/2025  |  Package Details: Package Record Active  |  Total Package Capacity: 600 Mins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18/07/2025</t>
        </is>
      </c>
      <c r="C5" s="13" t="n">
        <v>0</v>
      </c>
      <c r="D5" s="13" t="inlineStr">
        <is>
          <t>Not Started</t>
        </is>
      </c>
      <c r="E5" s="14">
        <f>C5</f>
        <v/>
      </c>
      <c r="F5" s="14">
        <f>600-E5</f>
        <v/>
      </c>
      <c r="G5" s="15">
        <f>E5/600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3" customWidth="1" style="21" min="1" max="1"/>
    <col width="16" customWidth="1" style="21" min="2" max="2"/>
    <col width="25" customWidth="1" style="21" min="3" max="3"/>
    <col width="23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MR. SUSHANTA B.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20/07/2025  |  Package Details: 50k for 80 hr (Not Started)  |  Total Package Capacity: 4800 Mins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20/07/2025</t>
        </is>
      </c>
      <c r="C5" s="13" t="n">
        <v>0</v>
      </c>
      <c r="D5" s="13" t="inlineStr">
        <is>
          <t>Not Started</t>
        </is>
      </c>
      <c r="E5" s="14">
        <f>C5</f>
        <v/>
      </c>
      <c r="F5" s="14">
        <f>4800-E5</f>
        <v/>
      </c>
      <c r="G5" s="15">
        <f>E5/4800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4" customWidth="1" style="21" min="1" max="1"/>
    <col width="16" customWidth="1" style="21" min="2" max="2"/>
    <col width="25" customWidth="1" style="21" min="3" max="3"/>
    <col width="23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MR. ANAND PODDAR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22/07/2025  |  Package Details: Paid 5k for 7 Hours  |  Total Package Capacity: 420 Mins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22/07/2025</t>
        </is>
      </c>
      <c r="C5" s="13" t="n">
        <v>60</v>
      </c>
      <c r="D5" s="13" t="inlineStr">
        <is>
          <t>Ritvika</t>
        </is>
      </c>
      <c r="E5" s="14">
        <f>C5</f>
        <v/>
      </c>
      <c r="F5" s="14">
        <f>420-E5</f>
        <v/>
      </c>
      <c r="G5" s="15">
        <f>E5/420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7" t="n">
        <v>2</v>
      </c>
      <c r="B6" s="17" t="inlineStr">
        <is>
          <t>14/08/2025</t>
        </is>
      </c>
      <c r="C6" s="18" t="n">
        <v>60</v>
      </c>
      <c r="D6" s="18" t="inlineStr">
        <is>
          <t>Puja</t>
        </is>
      </c>
      <c r="E6" s="19">
        <f>E5+C6</f>
        <v/>
      </c>
      <c r="F6" s="19">
        <f>420-E6</f>
        <v/>
      </c>
      <c r="G6" s="20">
        <f>E6/420</f>
        <v/>
      </c>
      <c r="H6" s="16">
        <f>IF(G6&gt;=1, "100.0% (Package Over)", TEXT(MIN(G6*100, 99.9), "0.0") &amp; "%")</f>
        <v/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n">
        <v>3</v>
      </c>
      <c r="B7" s="12" t="inlineStr">
        <is>
          <t>17/08/2025</t>
        </is>
      </c>
      <c r="C7" s="13" t="n">
        <v>30</v>
      </c>
      <c r="D7" s="13" t="inlineStr">
        <is>
          <t>Puja</t>
        </is>
      </c>
      <c r="E7" s="14">
        <f>E6+C7</f>
        <v/>
      </c>
      <c r="F7" s="14">
        <f>420-E7</f>
        <v/>
      </c>
      <c r="G7" s="15">
        <f>E7/420</f>
        <v/>
      </c>
      <c r="H7" s="16">
        <f>IF(G7&gt;=1, "100.0% (Package Over)", TEXT(MIN(G7*100, 99.9), "0.0") &amp; "%")</f>
        <v/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7" t="n">
        <v>4</v>
      </c>
      <c r="B8" s="17" t="inlineStr">
        <is>
          <t>23/08/2025</t>
        </is>
      </c>
      <c r="C8" s="18" t="n">
        <v>60</v>
      </c>
      <c r="D8" s="18" t="inlineStr">
        <is>
          <t>Puja</t>
        </is>
      </c>
      <c r="E8" s="19">
        <f>E7+C8</f>
        <v/>
      </c>
      <c r="F8" s="19">
        <f>420-E8</f>
        <v/>
      </c>
      <c r="G8" s="20">
        <f>E8/420</f>
        <v/>
      </c>
      <c r="H8" s="16">
        <f>IF(G8&gt;=1, "100.0% (Package Over)", TEXT(MIN(G8*100, 99.9), "0.0") &amp; "%")</f>
        <v/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>
        <v>5</v>
      </c>
      <c r="B9" s="12" t="inlineStr">
        <is>
          <t>12/09/2025</t>
        </is>
      </c>
      <c r="C9" s="13" t="n">
        <v>75</v>
      </c>
      <c r="D9" s="13" t="inlineStr">
        <is>
          <t>Soma</t>
        </is>
      </c>
      <c r="E9" s="14">
        <f>E8+C9</f>
        <v/>
      </c>
      <c r="F9" s="14">
        <f>420-E9</f>
        <v/>
      </c>
      <c r="G9" s="15">
        <f>E9/420</f>
        <v/>
      </c>
      <c r="H9" s="16">
        <f>IF(G9&gt;=1, "100.0% (Package Over)", TEXT(MIN(G9*100, 99.9), "0.0") &amp; "%")</f>
        <v/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7" t="n">
        <v>6</v>
      </c>
      <c r="B10" s="17" t="inlineStr">
        <is>
          <t>10/10/2025</t>
        </is>
      </c>
      <c r="C10" s="18" t="n">
        <v>60</v>
      </c>
      <c r="D10" s="18" t="inlineStr">
        <is>
          <t>Soma</t>
        </is>
      </c>
      <c r="E10" s="19">
        <f>E9+C10</f>
        <v/>
      </c>
      <c r="F10" s="19">
        <f>420-E10</f>
        <v/>
      </c>
      <c r="G10" s="20">
        <f>E10/420</f>
        <v/>
      </c>
      <c r="H10" s="16">
        <f>IF(G10&gt;=1, "100.0% (Package Over)", TEXT(MIN(G10*100, 99.9), "0.0") &amp; "%")</f>
        <v/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2" t="n">
        <v>7</v>
      </c>
      <c r="B11" s="12" t="inlineStr">
        <is>
          <t>12/03/2026</t>
        </is>
      </c>
      <c r="C11" s="13" t="n">
        <v>60</v>
      </c>
      <c r="D11" s="13" t="inlineStr">
        <is>
          <t>Isha</t>
        </is>
      </c>
      <c r="E11" s="14">
        <f>E10+C11</f>
        <v/>
      </c>
      <c r="F11" s="14">
        <f>420-E11</f>
        <v/>
      </c>
      <c r="G11" s="15">
        <f>E11/420</f>
        <v/>
      </c>
      <c r="H11" s="16">
        <f>IF(G11&gt;=1, "100.0% (Package Over)", TEXT(MIN(G11*100, 99.9), "0.0") &amp; "%")</f>
        <v/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7" t="n">
        <v>8</v>
      </c>
      <c r="B12" s="17" t="inlineStr">
        <is>
          <t>26/03/2026</t>
        </is>
      </c>
      <c r="C12" s="18" t="n">
        <v>15</v>
      </c>
      <c r="D12" s="18" t="inlineStr">
        <is>
          <t>Soma</t>
        </is>
      </c>
      <c r="E12" s="19">
        <f>E11+C12</f>
        <v/>
      </c>
      <c r="F12" s="19">
        <f>420-E12</f>
        <v/>
      </c>
      <c r="G12" s="20">
        <f>E12/420</f>
        <v/>
      </c>
      <c r="H12" s="16">
        <f>IF(G12&gt;=1, "100.0% (Package Over)", TEXT(MIN(G12*100, 99.9), "0.0") &amp; "%")</f>
        <v/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0" customWidth="1" style="21" min="1" max="1"/>
    <col width="16" customWidth="1" style="21" min="2" max="2"/>
    <col width="25" customWidth="1" style="21" min="3" max="3"/>
    <col width="41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MR. DEBABRATA DEY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23/07/2025  |  Package Details: Paid 5k for 7k Package (Soma)  |  Total Package Capacity: 7000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23/07/2025</t>
        </is>
      </c>
      <c r="C5" s="13" t="n">
        <v>2508</v>
      </c>
      <c r="D5" s="13" t="inlineStr">
        <is>
          <t>Facial - Soma</t>
        </is>
      </c>
      <c r="E5" s="14">
        <f>C5</f>
        <v/>
      </c>
      <c r="F5" s="14">
        <f>7000-E5</f>
        <v/>
      </c>
      <c r="G5" s="15">
        <f>E5/7000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7" t="n">
        <v>2</v>
      </c>
      <c r="B6" s="17" t="inlineStr">
        <is>
          <t>12/08/2025</t>
        </is>
      </c>
      <c r="C6" s="18" t="n">
        <v>2950</v>
      </c>
      <c r="D6" s="18" t="inlineStr">
        <is>
          <t>Facial - Soma</t>
        </is>
      </c>
      <c r="E6" s="19">
        <f>E5+C6</f>
        <v/>
      </c>
      <c r="F6" s="19">
        <f>7000-E6</f>
        <v/>
      </c>
      <c r="G6" s="20">
        <f>E6/7000</f>
        <v/>
      </c>
      <c r="H6" s="16">
        <f>IF(G6&gt;=1, "100.0% (Package Over)", TEXT(MIN(G6*100, 99.9), "0.0") &amp; "%")</f>
        <v/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n">
        <v>3</v>
      </c>
      <c r="B7" s="12" t="inlineStr">
        <is>
          <t>09/09/2025</t>
        </is>
      </c>
      <c r="C7" s="13" t="n">
        <v>950</v>
      </c>
      <c r="D7" s="13" t="inlineStr">
        <is>
          <t>Facial - Soma</t>
        </is>
      </c>
      <c r="E7" s="14">
        <f>E6+C7</f>
        <v/>
      </c>
      <c r="F7" s="14">
        <f>7000-E7</f>
        <v/>
      </c>
      <c r="G7" s="15">
        <f>E7/7000</f>
        <v/>
      </c>
      <c r="H7" s="16">
        <f>IF(G7&gt;=1, "100.0% (Package Over)", TEXT(MIN(G7*100, 99.9), "0.0") &amp; "%")</f>
        <v/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7" t="n">
        <v>4</v>
      </c>
      <c r="B8" s="17" t="inlineStr">
        <is>
          <t>25/11/2025</t>
        </is>
      </c>
      <c r="C8" s="18" t="n">
        <v>592</v>
      </c>
      <c r="D8" s="18" t="inlineStr">
        <is>
          <t>Facial - Sneha (Paid = 358 left/over)</t>
        </is>
      </c>
      <c r="E8" s="19">
        <f>E7+C8</f>
        <v/>
      </c>
      <c r="F8" s="19">
        <f>7000-E8</f>
        <v/>
      </c>
      <c r="G8" s="20">
        <f>E8/7000</f>
        <v/>
      </c>
      <c r="H8" s="16">
        <f>IF(G8&gt;=1, "100.0% (Package Over)", TEXT(MIN(G8*100, 99.9), "0.0") &amp; "%")</f>
        <v/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4" customWidth="1" style="21" min="1" max="1"/>
    <col width="16" customWidth="1" style="21" min="2" max="2"/>
    <col width="25" customWidth="1" style="21" min="3" max="3"/>
    <col width="23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MADHUMITA CHATTERJEE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07/08/2025  |  Package Details: Paid 5k for 7 Hours  |  Total Package Capacity: 420 Mins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07/08/2025</t>
        </is>
      </c>
      <c r="C5" s="13" t="n">
        <v>60</v>
      </c>
      <c r="D5" s="13" t="inlineStr">
        <is>
          <t>Soma</t>
        </is>
      </c>
      <c r="E5" s="14">
        <f>C5</f>
        <v/>
      </c>
      <c r="F5" s="14">
        <f>420-E5</f>
        <v/>
      </c>
      <c r="G5" s="15">
        <f>E5/420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7" t="n">
        <v>2</v>
      </c>
      <c r="B6" s="17" t="inlineStr">
        <is>
          <t>11/08/2025</t>
        </is>
      </c>
      <c r="C6" s="18" t="n">
        <v>60</v>
      </c>
      <c r="D6" s="18" t="inlineStr">
        <is>
          <t>Soma</t>
        </is>
      </c>
      <c r="E6" s="19">
        <f>E5+C6</f>
        <v/>
      </c>
      <c r="F6" s="19">
        <f>420-E6</f>
        <v/>
      </c>
      <c r="G6" s="20">
        <f>E6/420</f>
        <v/>
      </c>
      <c r="H6" s="16">
        <f>IF(G6&gt;=1, "100.0% (Package Over)", TEXT(MIN(G6*100, 99.9), "0.0") &amp; "%")</f>
        <v/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n">
        <v>3</v>
      </c>
      <c r="B7" s="12" t="inlineStr">
        <is>
          <t>19/08/2025</t>
        </is>
      </c>
      <c r="C7" s="13" t="n">
        <v>60</v>
      </c>
      <c r="D7" s="13" t="inlineStr">
        <is>
          <t>Soma</t>
        </is>
      </c>
      <c r="E7" s="14">
        <f>E6+C7</f>
        <v/>
      </c>
      <c r="F7" s="14">
        <f>420-E7</f>
        <v/>
      </c>
      <c r="G7" s="15">
        <f>E7/420</f>
        <v/>
      </c>
      <c r="H7" s="16">
        <f>IF(G7&gt;=1, "100.0% (Package Over)", TEXT(MIN(G7*100, 99.9), "0.0") &amp; "%")</f>
        <v/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7" t="n">
        <v>4</v>
      </c>
      <c r="B8" s="17" t="inlineStr">
        <is>
          <t>28/08/2025</t>
        </is>
      </c>
      <c r="C8" s="18" t="n">
        <v>60</v>
      </c>
      <c r="D8" s="18" t="inlineStr">
        <is>
          <t>Anju</t>
        </is>
      </c>
      <c r="E8" s="19">
        <f>E7+C8</f>
        <v/>
      </c>
      <c r="F8" s="19">
        <f>420-E8</f>
        <v/>
      </c>
      <c r="G8" s="20">
        <f>E8/420</f>
        <v/>
      </c>
      <c r="H8" s="16">
        <f>IF(G8&gt;=1, "100.0% (Package Over)", TEXT(MIN(G8*100, 99.9), "0.0") &amp; "%")</f>
        <v/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>
        <v>5</v>
      </c>
      <c r="B9" s="12" t="inlineStr">
        <is>
          <t>21/09/2025</t>
        </is>
      </c>
      <c r="C9" s="13" t="n">
        <v>60</v>
      </c>
      <c r="D9" s="13" t="inlineStr">
        <is>
          <t>Soma</t>
        </is>
      </c>
      <c r="E9" s="14">
        <f>E8+C9</f>
        <v/>
      </c>
      <c r="F9" s="14">
        <f>420-E9</f>
        <v/>
      </c>
      <c r="G9" s="15">
        <f>E9/420</f>
        <v/>
      </c>
      <c r="H9" s="16">
        <f>IF(G9&gt;=1, "100.0% (Package Over)", TEXT(MIN(G9*100, 99.9), "0.0") &amp; "%")</f>
        <v/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7" t="n">
        <v>6</v>
      </c>
      <c r="B10" s="17" t="inlineStr">
        <is>
          <t>16/09/2025</t>
        </is>
      </c>
      <c r="C10" s="18" t="n">
        <v>60</v>
      </c>
      <c r="D10" s="18" t="inlineStr">
        <is>
          <t>Soma</t>
        </is>
      </c>
      <c r="E10" s="19">
        <f>E9+C10</f>
        <v/>
      </c>
      <c r="F10" s="19">
        <f>420-E10</f>
        <v/>
      </c>
      <c r="G10" s="20">
        <f>E10/420</f>
        <v/>
      </c>
      <c r="H10" s="16">
        <f>IF(G10&gt;=1, "100.0% (Package Over)", TEXT(MIN(G10*100, 99.9), "0.0") &amp; "%")</f>
        <v/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2" t="n">
        <v>7</v>
      </c>
      <c r="B11" s="12" t="inlineStr">
        <is>
          <t>28/09/2025</t>
        </is>
      </c>
      <c r="C11" s="13" t="n">
        <v>60</v>
      </c>
      <c r="D11" s="13" t="inlineStr">
        <is>
          <t>Soma</t>
        </is>
      </c>
      <c r="E11" s="14">
        <f>E10+C11</f>
        <v/>
      </c>
      <c r="F11" s="14">
        <f>420-E11</f>
        <v/>
      </c>
      <c r="G11" s="15">
        <f>E11/420</f>
        <v/>
      </c>
      <c r="H11" s="16">
        <f>IF(G11&gt;=1, "100.0% (Package Over)", TEXT(MIN(G11*100, 99.9), "0.0") &amp; "%")</f>
        <v/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1" customWidth="1" style="21" min="1" max="1"/>
    <col width="16" customWidth="1" style="21" min="2" max="2"/>
    <col width="25" customWidth="1" style="21" min="3" max="3"/>
    <col width="27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MR. RANDHIR PAUL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13/08/2025  |  Package Details: Paid 5k for 10 Hours (Renewed 18/09/25 5k for 10 Hours)  |  Total Package Capacity: 1200 Mins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13/08/2025</t>
        </is>
      </c>
      <c r="C5" s="13" t="n">
        <v>60</v>
      </c>
      <c r="D5" s="13" t="inlineStr">
        <is>
          <t>Puja</t>
        </is>
      </c>
      <c r="E5" s="14">
        <f>C5</f>
        <v/>
      </c>
      <c r="F5" s="14">
        <f>1200-E5</f>
        <v/>
      </c>
      <c r="G5" s="15">
        <f>E5/1200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7" t="n">
        <v>2</v>
      </c>
      <c r="B6" s="17" t="inlineStr">
        <is>
          <t>19/08/2025</t>
        </is>
      </c>
      <c r="C6" s="18" t="n">
        <v>90</v>
      </c>
      <c r="D6" s="18" t="inlineStr">
        <is>
          <t>Puja</t>
        </is>
      </c>
      <c r="E6" s="19">
        <f>E5+C6</f>
        <v/>
      </c>
      <c r="F6" s="19">
        <f>1200-E6</f>
        <v/>
      </c>
      <c r="G6" s="20">
        <f>E6/1200</f>
        <v/>
      </c>
      <c r="H6" s="16">
        <f>IF(G6&gt;=1, "100.0% (Package Over)", TEXT(MIN(G6*100, 99.9), "0.0") &amp; "%")</f>
        <v/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n">
        <v>3</v>
      </c>
      <c r="B7" s="12" t="inlineStr">
        <is>
          <t>26/08/2025</t>
        </is>
      </c>
      <c r="C7" s="13" t="n">
        <v>90</v>
      </c>
      <c r="D7" s="13" t="inlineStr">
        <is>
          <t>Barsha</t>
        </is>
      </c>
      <c r="E7" s="14">
        <f>E6+C7</f>
        <v/>
      </c>
      <c r="F7" s="14">
        <f>1200-E7</f>
        <v/>
      </c>
      <c r="G7" s="15">
        <f>E7/1200</f>
        <v/>
      </c>
      <c r="H7" s="16">
        <f>IF(G7&gt;=1, "100.0% (Package Over)", TEXT(MIN(G7*100, 99.9), "0.0") &amp; "%")</f>
        <v/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7" t="n">
        <v>4</v>
      </c>
      <c r="B8" s="17" t="inlineStr">
        <is>
          <t>02/09/2025</t>
        </is>
      </c>
      <c r="C8" s="18" t="n">
        <v>90</v>
      </c>
      <c r="D8" s="18" t="inlineStr">
        <is>
          <t>Soma</t>
        </is>
      </c>
      <c r="E8" s="19">
        <f>E7+C8</f>
        <v/>
      </c>
      <c r="F8" s="19">
        <f>1200-E8</f>
        <v/>
      </c>
      <c r="G8" s="20">
        <f>E8/1200</f>
        <v/>
      </c>
      <c r="H8" s="16">
        <f>IF(G8&gt;=1, "100.0% (Package Over)", TEXT(MIN(G8*100, 99.9), "0.0") &amp; "%")</f>
        <v/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>
        <v>5</v>
      </c>
      <c r="B9" s="12" t="inlineStr">
        <is>
          <t>09/09/2025</t>
        </is>
      </c>
      <c r="C9" s="13" t="n">
        <v>90</v>
      </c>
      <c r="D9" s="13" t="inlineStr">
        <is>
          <t>Suparna</t>
        </is>
      </c>
      <c r="E9" s="14">
        <f>E8+C9</f>
        <v/>
      </c>
      <c r="F9" s="14">
        <f>1200-E9</f>
        <v/>
      </c>
      <c r="G9" s="15">
        <f>E9/1200</f>
        <v/>
      </c>
      <c r="H9" s="16">
        <f>IF(G9&gt;=1, "100.0% (Package Over)", TEXT(MIN(G9*100, 99.9), "0.0") &amp; "%")</f>
        <v/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7" t="n">
        <v>6</v>
      </c>
      <c r="B10" s="17" t="inlineStr">
        <is>
          <t>11/09/2025</t>
        </is>
      </c>
      <c r="C10" s="18" t="n">
        <v>60</v>
      </c>
      <c r="D10" s="18" t="inlineStr">
        <is>
          <t>Suparna</t>
        </is>
      </c>
      <c r="E10" s="19">
        <f>E9+C10</f>
        <v/>
      </c>
      <c r="F10" s="19">
        <f>1200-E10</f>
        <v/>
      </c>
      <c r="G10" s="20">
        <f>E10/1200</f>
        <v/>
      </c>
      <c r="H10" s="16">
        <f>IF(G10&gt;=1, "100.0% (Package Over)", TEXT(MIN(G10*100, 99.9), "0.0") &amp; "%")</f>
        <v/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2" t="n">
        <v>7</v>
      </c>
      <c r="B11" s="12" t="inlineStr">
        <is>
          <t>15/09/2025</t>
        </is>
      </c>
      <c r="C11" s="13" t="n">
        <v>90</v>
      </c>
      <c r="D11" s="13" t="inlineStr">
        <is>
          <t>Suparna</t>
        </is>
      </c>
      <c r="E11" s="14">
        <f>E10+C11</f>
        <v/>
      </c>
      <c r="F11" s="14">
        <f>1200-E11</f>
        <v/>
      </c>
      <c r="G11" s="15">
        <f>E11/1200</f>
        <v/>
      </c>
      <c r="H11" s="16">
        <f>IF(G11&gt;=1, "100.0% (Package Over)", TEXT(MIN(G11*100, 99.9), "0.0") &amp; "%")</f>
        <v/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7" t="n">
        <v>8</v>
      </c>
      <c r="B12" s="17" t="inlineStr">
        <is>
          <t>18/09/2025</t>
        </is>
      </c>
      <c r="C12" s="18" t="n">
        <v>30</v>
      </c>
      <c r="D12" s="18" t="inlineStr">
        <is>
          <t>Suparna (Over)</t>
        </is>
      </c>
      <c r="E12" s="19">
        <f>E11+C12</f>
        <v/>
      </c>
      <c r="F12" s="19">
        <f>1200-E12</f>
        <v/>
      </c>
      <c r="G12" s="20">
        <f>E12/1200</f>
        <v/>
      </c>
      <c r="H12" s="16">
        <f>IF(G12&gt;=1, "100.0% (Package Over)", TEXT(MIN(G12*100, 99.9), "0.0") &amp; "%")</f>
        <v/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2" t="n">
        <v>9</v>
      </c>
      <c r="B13" s="12" t="inlineStr">
        <is>
          <t>18/09/2025</t>
        </is>
      </c>
      <c r="C13" s="13" t="n">
        <v>60</v>
      </c>
      <c r="D13" s="13" t="inlineStr">
        <is>
          <t>Suparna (Pkg 2 Renewal)</t>
        </is>
      </c>
      <c r="E13" s="14">
        <f>E12+C13</f>
        <v/>
      </c>
      <c r="F13" s="14">
        <f>1200-E13</f>
        <v/>
      </c>
      <c r="G13" s="15">
        <f>E13/1200</f>
        <v/>
      </c>
      <c r="H13" s="16">
        <f>IF(G13&gt;=1, "100.0% (Package Over)", TEXT(MIN(G13*100, 99.9), "0.0") &amp; "%")</f>
        <v/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7" t="n">
        <v>10</v>
      </c>
      <c r="B14" s="17" t="inlineStr">
        <is>
          <t>26/09/2025</t>
        </is>
      </c>
      <c r="C14" s="18" t="n">
        <v>60</v>
      </c>
      <c r="D14" s="18" t="inlineStr">
        <is>
          <t>Suparna</t>
        </is>
      </c>
      <c r="E14" s="19">
        <f>E13+C14</f>
        <v/>
      </c>
      <c r="F14" s="19">
        <f>1200-E14</f>
        <v/>
      </c>
      <c r="G14" s="20">
        <f>E14/1200</f>
        <v/>
      </c>
      <c r="H14" s="16">
        <f>IF(G14&gt;=1, "100.0% (Package Over)", TEXT(MIN(G14*100, 99.9), "0.0") &amp; "%")</f>
        <v/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2" t="n">
        <v>11</v>
      </c>
      <c r="B15" s="12" t="inlineStr">
        <is>
          <t>07/10/2025</t>
        </is>
      </c>
      <c r="C15" s="13" t="n">
        <v>60</v>
      </c>
      <c r="D15" s="13" t="inlineStr">
        <is>
          <t>Soma</t>
        </is>
      </c>
      <c r="E15" s="14">
        <f>E14+C15</f>
        <v/>
      </c>
      <c r="F15" s="14">
        <f>1200-E15</f>
        <v/>
      </c>
      <c r="G15" s="15">
        <f>E15/1200</f>
        <v/>
      </c>
      <c r="H15" s="16">
        <f>IF(G15&gt;=1, "100.0% (Package Over)", TEXT(MIN(G15*100, 99.9), "0.0") &amp; "%")</f>
        <v/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7" t="n">
        <v>12</v>
      </c>
      <c r="B16" s="17" t="inlineStr">
        <is>
          <t>24/10/2025</t>
        </is>
      </c>
      <c r="C16" s="18" t="n">
        <v>60</v>
      </c>
      <c r="D16" s="18" t="inlineStr">
        <is>
          <t>Sneha</t>
        </is>
      </c>
      <c r="E16" s="19">
        <f>E15+C16</f>
        <v/>
      </c>
      <c r="F16" s="19">
        <f>1200-E16</f>
        <v/>
      </c>
      <c r="G16" s="20">
        <f>E16/1200</f>
        <v/>
      </c>
      <c r="H16" s="16">
        <f>IF(G16&gt;=1, "100.0% (Package Over)", TEXT(MIN(G16*100, 99.9), "0.0") &amp; "%")</f>
        <v/>
      </c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2" t="n">
        <v>13</v>
      </c>
      <c r="B17" s="12" t="inlineStr">
        <is>
          <t>30/10/2025</t>
        </is>
      </c>
      <c r="C17" s="13" t="n">
        <v>90</v>
      </c>
      <c r="D17" s="13" t="inlineStr">
        <is>
          <t>Sneha</t>
        </is>
      </c>
      <c r="E17" s="14">
        <f>E16+C17</f>
        <v/>
      </c>
      <c r="F17" s="14">
        <f>1200-E17</f>
        <v/>
      </c>
      <c r="G17" s="15">
        <f>E17/1200</f>
        <v/>
      </c>
      <c r="H17" s="16">
        <f>IF(G17&gt;=1, "100.0% (Package Over)", TEXT(MIN(G17*100, 99.9), "0.0") &amp; "%")</f>
        <v/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7" t="n">
        <v>14</v>
      </c>
      <c r="B18" s="17" t="inlineStr">
        <is>
          <t>03/11/2025</t>
        </is>
      </c>
      <c r="C18" s="18" t="n">
        <v>60</v>
      </c>
      <c r="D18" s="18" t="inlineStr">
        <is>
          <t>Ritika</t>
        </is>
      </c>
      <c r="E18" s="19">
        <f>E17+C18</f>
        <v/>
      </c>
      <c r="F18" s="19">
        <f>1200-E18</f>
        <v/>
      </c>
      <c r="G18" s="20">
        <f>E18/1200</f>
        <v/>
      </c>
      <c r="H18" s="16">
        <f>IF(G18&gt;=1, "100.0% (Package Over)", TEXT(MIN(G18*100, 99.9), "0.0") &amp; "%")</f>
        <v/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2" t="n">
        <v>15</v>
      </c>
      <c r="B19" s="12" t="inlineStr">
        <is>
          <t>08/11/2025</t>
        </is>
      </c>
      <c r="C19" s="13" t="n">
        <v>90</v>
      </c>
      <c r="D19" s="13" t="inlineStr">
        <is>
          <t>Ritika</t>
        </is>
      </c>
      <c r="E19" s="14">
        <f>E18+C19</f>
        <v/>
      </c>
      <c r="F19" s="14">
        <f>1200-E19</f>
        <v/>
      </c>
      <c r="G19" s="15">
        <f>E19/1200</f>
        <v/>
      </c>
      <c r="H19" s="16">
        <f>IF(G19&gt;=1, "100.0% (Package Over)", TEXT(MIN(G19*100, 99.9), "0.0") &amp; "%")</f>
        <v/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7" t="n">
        <v>16</v>
      </c>
      <c r="B20" s="17" t="inlineStr">
        <is>
          <t>13/11/2025</t>
        </is>
      </c>
      <c r="C20" s="18" t="n">
        <v>90</v>
      </c>
      <c r="D20" s="18" t="inlineStr">
        <is>
          <t>Sneha</t>
        </is>
      </c>
      <c r="E20" s="19">
        <f>E19+C20</f>
        <v/>
      </c>
      <c r="F20" s="19">
        <f>1200-E20</f>
        <v/>
      </c>
      <c r="G20" s="20">
        <f>E20/1200</f>
        <v/>
      </c>
      <c r="H20" s="16">
        <f>IF(G20&gt;=1, "100.0% (Package Over)", TEXT(MIN(G20*100, 99.9), "0.0") &amp; "%")</f>
        <v/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12" t="n">
        <v>17</v>
      </c>
      <c r="B21" s="12" t="inlineStr">
        <is>
          <t>02/12/2025</t>
        </is>
      </c>
      <c r="C21" s="13" t="n">
        <v>30</v>
      </c>
      <c r="D21" s="13" t="inlineStr">
        <is>
          <t>Ritika</t>
        </is>
      </c>
      <c r="E21" s="14">
        <f>E20+C21</f>
        <v/>
      </c>
      <c r="F21" s="14">
        <f>1200-E21</f>
        <v/>
      </c>
      <c r="G21" s="15">
        <f>E21/1200</f>
        <v/>
      </c>
      <c r="H21" s="16">
        <f>IF(G21&gt;=1, "100.0% (Package Over)", TEXT(MIN(G21*100, 99.9), "0.0") &amp; "%")</f>
        <v/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0" customWidth="1" style="21" min="1" max="1"/>
    <col width="16" customWidth="1" style="21" min="2" max="2"/>
    <col width="25" customWidth="1" style="21" min="3" max="3"/>
    <col width="69" customWidth="1" style="21" min="4" max="4"/>
    <col width="20" customWidth="1" style="21" min="5" max="5"/>
    <col width="21" customWidth="1" style="21" min="6" max="6"/>
    <col width="22" customWidth="1" style="21" min="7" max="7"/>
    <col width="27" customWidth="1" style="21" min="8" max="8"/>
  </cols>
  <sheetData>
    <row r="1">
      <c r="A1" s="2" t="inlineStr">
        <is>
          <t>CLIENT SESSION TRACKER: MANISH JAISWAL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Start Date: 14/08/2025  |  Package Details: Paid 5k for 8k Cash  |  Total Package Capacity: 8000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Session No.</t>
        </is>
      </c>
      <c r="B4" s="6" t="inlineStr">
        <is>
          <t>Session Date</t>
        </is>
      </c>
      <c r="C4" s="6" t="inlineStr">
        <is>
          <t>Duration (Mins/Value)</t>
        </is>
      </c>
      <c r="D4" s="6" t="inlineStr">
        <is>
          <t>Therapist / Details</t>
        </is>
      </c>
      <c r="E4" s="6" t="inlineStr">
        <is>
          <t>Cumulative Usage</t>
        </is>
      </c>
      <c r="F4" s="6" t="inlineStr">
        <is>
          <t>Remaining Balance</t>
        </is>
      </c>
      <c r="G4" s="6" t="inlineStr">
        <is>
          <t>% Package Consumed</t>
        </is>
      </c>
      <c r="H4" s="6" t="inlineStr">
        <is>
          <t>Prob. Package Over Date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n">
        <v>1</v>
      </c>
      <c r="B5" s="12" t="inlineStr">
        <is>
          <t>14/08/2025</t>
        </is>
      </c>
      <c r="C5" s="13" t="n">
        <v>850</v>
      </c>
      <c r="D5" s="13" t="inlineStr">
        <is>
          <t>Pedicure</t>
        </is>
      </c>
      <c r="E5" s="14">
        <f>C5</f>
        <v/>
      </c>
      <c r="F5" s="14">
        <f>8000-E5</f>
        <v/>
      </c>
      <c r="G5" s="15">
        <f>E5/8000</f>
        <v/>
      </c>
      <c r="H5" s="16">
        <f>IF(G5&gt;=1, "100.0% (Package Over)", TEXT(MIN(G5*100, 99.9), "0.0") &amp; "%")</f>
        <v/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7" t="n">
        <v>2</v>
      </c>
      <c r="B6" s="17" t="inlineStr">
        <is>
          <t>15/08/2025</t>
        </is>
      </c>
      <c r="C6" s="18" t="n">
        <v>2600</v>
      </c>
      <c r="D6" s="18" t="inlineStr">
        <is>
          <t>Foot Massage 60 min (950 - Puja) + Detox Facial (1650 - Soma)</t>
        </is>
      </c>
      <c r="E6" s="19">
        <f>E5+C6</f>
        <v/>
      </c>
      <c r="F6" s="19">
        <f>8000-E6</f>
        <v/>
      </c>
      <c r="G6" s="20">
        <f>E6/8000</f>
        <v/>
      </c>
      <c r="H6" s="16">
        <f>IF(G6&gt;=1, "100.0% (Package Over)", TEXT(MIN(G6*100, 99.9), "0.0") &amp; "%")</f>
        <v/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n">
        <v>3</v>
      </c>
      <c r="B7" s="12" t="inlineStr">
        <is>
          <t>04/09/2025</t>
        </is>
      </c>
      <c r="C7" s="13" t="n">
        <v>2500</v>
      </c>
      <c r="D7" s="13" t="inlineStr">
        <is>
          <t>Pedicure (850 - Suparna) + Detox Facial (1650 - Soma)</t>
        </is>
      </c>
      <c r="E7" s="14">
        <f>E6+C7</f>
        <v/>
      </c>
      <c r="F7" s="14">
        <f>8000-E7</f>
        <v/>
      </c>
      <c r="G7" s="15">
        <f>E7/8000</f>
        <v/>
      </c>
      <c r="H7" s="16">
        <f>IF(G7&gt;=1, "100.0% (Package Over)", TEXT(MIN(G7*100, 99.9), "0.0") &amp; "%")</f>
        <v/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7" t="n">
        <v>4</v>
      </c>
      <c r="B8" s="17" t="inlineStr">
        <is>
          <t>01/12/2025</t>
        </is>
      </c>
      <c r="C8" s="18" t="n">
        <v>1250</v>
      </c>
      <c r="D8" s="18" t="inlineStr">
        <is>
          <t>Signature Pedicure (1250 - Soma)</t>
        </is>
      </c>
      <c r="E8" s="19">
        <f>E7+C8</f>
        <v/>
      </c>
      <c r="F8" s="19">
        <f>8000-E8</f>
        <v/>
      </c>
      <c r="G8" s="20">
        <f>E8/8000</f>
        <v/>
      </c>
      <c r="H8" s="16">
        <f>IF(G8&gt;=1, "100.0% (Package Over)", TEXT(MIN(G8*100, 99.9), "0.0") &amp; "%")</f>
        <v/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>
        <v>5</v>
      </c>
      <c r="B9" s="12" t="inlineStr">
        <is>
          <t>11/12/2025</t>
        </is>
      </c>
      <c r="C9" s="13" t="n">
        <v>1250</v>
      </c>
      <c r="D9" s="13" t="inlineStr">
        <is>
          <t>Signature Pedicure (Sneha - 800 balance + 450 paid = 1250) [OVER]</t>
        </is>
      </c>
      <c r="E9" s="14">
        <f>E8+C9</f>
        <v/>
      </c>
      <c r="F9" s="14">
        <f>8000-E9</f>
        <v/>
      </c>
      <c r="G9" s="15">
        <f>E9/8000</f>
        <v/>
      </c>
      <c r="H9" s="16">
        <f>IF(G9&gt;=1, "100.0% (Package Over)", TEXT(MIN(G9*100, 99.9), "0.0") &amp; "%")</f>
        <v/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1" min="1" max="1"/>
    <col width="14" customWidth="1" style="21" min="2" max="2"/>
    <col width="22" customWidth="1" style="21" min="3" max="3"/>
    <col width="35" customWidth="1" style="21" min="4" max="4"/>
    <col width="18" customWidth="1" style="21" min="5" max="6"/>
    <col width="18" customWidth="1" style="21" min="6" max="6"/>
    <col width="20" customWidth="1" style="21" min="7" max="7"/>
    <col width="25" customWidth="1" style="21" min="8" max="8"/>
    <col width="8.710000000000001" customWidth="1" style="21" min="9" max="26"/>
  </cols>
  <sheetData>
    <row r="1">
      <c r="A1" s="26" t="inlineStr">
        <is>
          <t>CLIENT SESSION TRACKER: DR. R.C. YADAV (MERGED)</t>
        </is>
      </c>
    </row>
    <row r="2">
      <c r="A2" s="27" t="inlineStr">
        <is>
          <t>Start Date: 15/08/2025  |  Package Details: Paid 5k for 10 hrs + Paid 5k for Self + Pkg 2 (600m) + Pkg 3 (600m)  |  Total Package Capacity: 2400 Mins</t>
        </is>
      </c>
    </row>
    <row r="4">
      <c r="A4" s="28" t="inlineStr">
        <is>
          <t>Session No.</t>
        </is>
      </c>
      <c r="B4" s="28" t="inlineStr">
        <is>
          <t>Session Date</t>
        </is>
      </c>
      <c r="C4" s="28" t="inlineStr">
        <is>
          <t>Duration (Mins/Value)</t>
        </is>
      </c>
      <c r="D4" s="28" t="inlineStr">
        <is>
          <t>Therapist / Details</t>
        </is>
      </c>
      <c r="E4" s="28" t="inlineStr">
        <is>
          <t>Cumulative Usage</t>
        </is>
      </c>
      <c r="F4" s="28" t="inlineStr">
        <is>
          <t>Remaining Balance</t>
        </is>
      </c>
      <c r="G4" s="28" t="inlineStr">
        <is>
          <t>% Package Consumed</t>
        </is>
      </c>
      <c r="H4" s="28" t="inlineStr">
        <is>
          <t>Prob. Package Over Date</t>
        </is>
      </c>
    </row>
    <row r="5">
      <c r="A5" s="22" t="n">
        <v>1</v>
      </c>
      <c r="B5" s="22" t="inlineStr">
        <is>
          <t>15/08/2025</t>
        </is>
      </c>
      <c r="C5" s="22" t="n">
        <v>60</v>
      </c>
      <c r="D5" s="23" t="inlineStr">
        <is>
          <t>Soma</t>
        </is>
      </c>
      <c r="E5" s="24">
        <f>C5</f>
        <v/>
      </c>
      <c r="F5" s="24">
        <f>2400-E5</f>
        <v/>
      </c>
      <c r="G5" s="25">
        <f>E5/2400</f>
        <v/>
      </c>
      <c r="H5" s="22">
        <f>IF(G5&gt;=1, "100.0% (Package Over)", TEXT(MIN(G5*100, 99.9), "0.0") &amp; "%")</f>
        <v/>
      </c>
    </row>
    <row r="6">
      <c r="A6" s="22" t="n">
        <v>2</v>
      </c>
      <c r="B6" s="22" t="inlineStr">
        <is>
          <t>17/08/2025</t>
        </is>
      </c>
      <c r="C6" s="22" t="n">
        <v>60</v>
      </c>
      <c r="D6" s="23" t="inlineStr">
        <is>
          <t>Soma</t>
        </is>
      </c>
      <c r="E6" s="24">
        <f>E5+C6</f>
        <v/>
      </c>
      <c r="F6" s="24">
        <f>2400-E6</f>
        <v/>
      </c>
      <c r="G6" s="25">
        <f>E6/2400</f>
        <v/>
      </c>
      <c r="H6" s="22">
        <f>IF(G6&gt;=1, "100.0% (Package Over)", TEXT(MIN(G6*100, 99.9), "0.0") &amp; "%")</f>
        <v/>
      </c>
    </row>
    <row r="7">
      <c r="A7" s="22" t="n">
        <v>3</v>
      </c>
      <c r="B7" s="22" t="inlineStr">
        <is>
          <t>19/08/2025</t>
        </is>
      </c>
      <c r="C7" s="22" t="n">
        <v>60</v>
      </c>
      <c r="D7" s="23" t="inlineStr">
        <is>
          <t>Soma</t>
        </is>
      </c>
      <c r="E7" s="24">
        <f>E6+C7</f>
        <v/>
      </c>
      <c r="F7" s="24">
        <f>2400-E7</f>
        <v/>
      </c>
      <c r="G7" s="25">
        <f>E7/2400</f>
        <v/>
      </c>
      <c r="H7" s="22">
        <f>IF(G7&gt;=1, "100.0% (Package Over)", TEXT(MIN(G7*100, 99.9), "0.0") &amp; "%")</f>
        <v/>
      </c>
    </row>
    <row r="8">
      <c r="A8" s="22" t="n">
        <v>4</v>
      </c>
      <c r="B8" s="22" t="inlineStr">
        <is>
          <t>24/09/2025</t>
        </is>
      </c>
      <c r="C8" s="22" t="n">
        <v>60</v>
      </c>
      <c r="D8" s="23" t="inlineStr">
        <is>
          <t>Suparna</t>
        </is>
      </c>
      <c r="E8" s="24">
        <f>E7+C8</f>
        <v/>
      </c>
      <c r="F8" s="24">
        <f>2400-E8</f>
        <v/>
      </c>
      <c r="G8" s="25">
        <f>E8/2400</f>
        <v/>
      </c>
      <c r="H8" s="22">
        <f>IF(G8&gt;=1, "100.0% (Package Over)", TEXT(MIN(G8*100, 99.9), "0.0") &amp; "%")</f>
        <v/>
      </c>
    </row>
    <row r="9">
      <c r="A9" s="22" t="n">
        <v>5</v>
      </c>
      <c r="B9" s="22" t="inlineStr">
        <is>
          <t>10/10/2025</t>
        </is>
      </c>
      <c r="C9" s="22" t="n">
        <v>60</v>
      </c>
      <c r="D9" s="23" t="inlineStr">
        <is>
          <t>Soma</t>
        </is>
      </c>
      <c r="E9" s="24">
        <f>E8+C9</f>
        <v/>
      </c>
      <c r="F9" s="24">
        <f>2400-E9</f>
        <v/>
      </c>
      <c r="G9" s="25">
        <f>E9/2400</f>
        <v/>
      </c>
      <c r="H9" s="22">
        <f>IF(G9&gt;=1, "100.0% (Package Over)", TEXT(MIN(G9*100, 99.9), "0.0") &amp; "%")</f>
        <v/>
      </c>
    </row>
    <row r="10">
      <c r="A10" s="22" t="n">
        <v>6</v>
      </c>
      <c r="B10" s="22" t="inlineStr">
        <is>
          <t>14/10/2025</t>
        </is>
      </c>
      <c r="C10" s="22" t="n">
        <v>60</v>
      </c>
      <c r="D10" s="23" t="inlineStr">
        <is>
          <t>Ritika</t>
        </is>
      </c>
      <c r="E10" s="24">
        <f>E9+C10</f>
        <v/>
      </c>
      <c r="F10" s="24">
        <f>2400-E10</f>
        <v/>
      </c>
      <c r="G10" s="25">
        <f>E10/2400</f>
        <v/>
      </c>
      <c r="H10" s="22">
        <f>IF(G10&gt;=1, "100.0% (Package Over)", TEXT(MIN(G10*100, 99.9), "0.0") &amp; "%")</f>
        <v/>
      </c>
    </row>
    <row r="11">
      <c r="A11" s="22" t="n">
        <v>7</v>
      </c>
      <c r="B11" s="22" t="inlineStr">
        <is>
          <t>16/10/2025</t>
        </is>
      </c>
      <c r="C11" s="22" t="n">
        <v>60</v>
      </c>
      <c r="D11" s="23" t="inlineStr">
        <is>
          <t>Soma</t>
        </is>
      </c>
      <c r="E11" s="24">
        <f>E10+C11</f>
        <v/>
      </c>
      <c r="F11" s="24">
        <f>2400-E11</f>
        <v/>
      </c>
      <c r="G11" s="25">
        <f>E11/2400</f>
        <v/>
      </c>
      <c r="H11" s="22">
        <f>IF(G11&gt;=1, "100.0% (Package Over)", TEXT(MIN(G11*100, 99.9), "0.0") &amp; "%")</f>
        <v/>
      </c>
    </row>
    <row r="12">
      <c r="A12" s="22" t="n">
        <v>8</v>
      </c>
      <c r="B12" s="22" t="inlineStr">
        <is>
          <t>18/10/2025</t>
        </is>
      </c>
      <c r="C12" s="22" t="n">
        <v>60</v>
      </c>
      <c r="D12" s="23" t="inlineStr">
        <is>
          <t>Ritika</t>
        </is>
      </c>
      <c r="E12" s="24">
        <f>E11+C12</f>
        <v/>
      </c>
      <c r="F12" s="24">
        <f>2400-E12</f>
        <v/>
      </c>
      <c r="G12" s="25">
        <f>E12/2400</f>
        <v/>
      </c>
      <c r="H12" s="22">
        <f>IF(G12&gt;=1, "100.0% (Package Over)", TEXT(MIN(G12*100, 99.9), "0.0") &amp; "%")</f>
        <v/>
      </c>
    </row>
    <row r="13">
      <c r="A13" s="22" t="n">
        <v>9</v>
      </c>
      <c r="B13" s="22" t="inlineStr">
        <is>
          <t>18/10/2025</t>
        </is>
      </c>
      <c r="C13" s="22" t="n">
        <v>60</v>
      </c>
      <c r="D13" s="23" t="inlineStr">
        <is>
          <t>Soma</t>
        </is>
      </c>
      <c r="E13" s="24">
        <f>E12+C13</f>
        <v/>
      </c>
      <c r="F13" s="24">
        <f>2400-E13</f>
        <v/>
      </c>
      <c r="G13" s="25">
        <f>E13/2400</f>
        <v/>
      </c>
      <c r="H13" s="22">
        <f>IF(G13&gt;=1, "100.0% (Package Over)", TEXT(MIN(G13*100, 99.9), "0.0") &amp; "%")</f>
        <v/>
      </c>
    </row>
    <row r="14">
      <c r="A14" s="22" t="n">
        <v>10</v>
      </c>
      <c r="B14" s="22" t="inlineStr">
        <is>
          <t>22/10/2025</t>
        </is>
      </c>
      <c r="C14" s="22" t="n">
        <v>60</v>
      </c>
      <c r="D14" s="23" t="inlineStr">
        <is>
          <t>Soma</t>
        </is>
      </c>
      <c r="E14" s="24">
        <f>E13+C14</f>
        <v/>
      </c>
      <c r="F14" s="24">
        <f>2400-E14</f>
        <v/>
      </c>
      <c r="G14" s="25">
        <f>E14/2400</f>
        <v/>
      </c>
      <c r="H14" s="22">
        <f>IF(G14&gt;=1, "100.0% (Package Over)", TEXT(MIN(G14*100, 99.9), "0.0") &amp; "%")</f>
        <v/>
      </c>
    </row>
    <row r="15">
      <c r="A15" s="22" t="n">
        <v>11</v>
      </c>
      <c r="B15" s="22" t="inlineStr">
        <is>
          <t>24/10/2025</t>
        </is>
      </c>
      <c r="C15" s="22" t="n">
        <v>60</v>
      </c>
      <c r="D15" s="23" t="inlineStr">
        <is>
          <t>Ritika</t>
        </is>
      </c>
      <c r="E15" s="24">
        <f>E14+C15</f>
        <v/>
      </c>
      <c r="F15" s="24">
        <f>2400-E15</f>
        <v/>
      </c>
      <c r="G15" s="25">
        <f>E15/2400</f>
        <v/>
      </c>
      <c r="H15" s="22">
        <f>IF(G15&gt;=1, "100.0% (Package Over)", TEXT(MIN(G15*100, 99.9), "0.0") &amp; "%")</f>
        <v/>
      </c>
    </row>
    <row r="16">
      <c r="A16" s="22" t="n">
        <v>12</v>
      </c>
      <c r="B16" s="22" t="inlineStr">
        <is>
          <t>27/10/2025</t>
        </is>
      </c>
      <c r="C16" s="22" t="n">
        <v>60</v>
      </c>
      <c r="D16" s="23" t="inlineStr">
        <is>
          <t>Soma</t>
        </is>
      </c>
      <c r="E16" s="24">
        <f>E15+C16</f>
        <v/>
      </c>
      <c r="F16" s="24">
        <f>2400-E16</f>
        <v/>
      </c>
      <c r="G16" s="25">
        <f>E16/2400</f>
        <v/>
      </c>
      <c r="H16" s="22">
        <f>IF(G16&gt;=1, "100.0% (Package Over)", TEXT(MIN(G16*100, 99.9), "0.0") &amp; "%")</f>
        <v/>
      </c>
    </row>
    <row r="17">
      <c r="A17" s="22" t="n">
        <v>13</v>
      </c>
      <c r="B17" s="22" t="inlineStr">
        <is>
          <t>29/10/2025</t>
        </is>
      </c>
      <c r="C17" s="22" t="n">
        <v>60</v>
      </c>
      <c r="D17" s="23" t="inlineStr">
        <is>
          <t>Soma</t>
        </is>
      </c>
      <c r="E17" s="24">
        <f>E16+C17</f>
        <v/>
      </c>
      <c r="F17" s="24">
        <f>2400-E17</f>
        <v/>
      </c>
      <c r="G17" s="25">
        <f>E17/2400</f>
        <v/>
      </c>
      <c r="H17" s="22">
        <f>IF(G17&gt;=1, "100.0% (Package Over)", TEXT(MIN(G17*100, 99.9), "0.0") &amp; "%")</f>
        <v/>
      </c>
    </row>
    <row r="18">
      <c r="A18" s="22" t="n">
        <v>14</v>
      </c>
      <c r="B18" s="22" t="inlineStr">
        <is>
          <t>31/10/2025</t>
        </is>
      </c>
      <c r="C18" s="22" t="n">
        <v>60</v>
      </c>
      <c r="D18" s="23" t="inlineStr">
        <is>
          <t>Soma</t>
        </is>
      </c>
      <c r="E18" s="24">
        <f>E17+C18</f>
        <v/>
      </c>
      <c r="F18" s="24">
        <f>2400-E18</f>
        <v/>
      </c>
      <c r="G18" s="25">
        <f>E18/2400</f>
        <v/>
      </c>
      <c r="H18" s="22">
        <f>IF(G18&gt;=1, "100.0% (Package Over)", TEXT(MIN(G18*100, 99.9), "0.0") &amp; "%")</f>
        <v/>
      </c>
    </row>
    <row r="19">
      <c r="A19" s="22" t="n">
        <v>15</v>
      </c>
      <c r="B19" s="22" t="inlineStr">
        <is>
          <t>02/11/2025</t>
        </is>
      </c>
      <c r="C19" s="22" t="n">
        <v>60</v>
      </c>
      <c r="D19" s="23" t="inlineStr">
        <is>
          <t>Sneha</t>
        </is>
      </c>
      <c r="E19" s="24">
        <f>E18+C19</f>
        <v/>
      </c>
      <c r="F19" s="24">
        <f>2400-E19</f>
        <v/>
      </c>
      <c r="G19" s="25">
        <f>E19/2400</f>
        <v/>
      </c>
      <c r="H19" s="22">
        <f>IF(G19&gt;=1, "100.0% (Package Over)", TEXT(MIN(G19*100, 99.9), "0.0") &amp; "%")</f>
        <v/>
      </c>
    </row>
    <row r="20">
      <c r="A20" s="22" t="n">
        <v>16</v>
      </c>
      <c r="B20" s="22" t="inlineStr">
        <is>
          <t>04/11/2025</t>
        </is>
      </c>
      <c r="C20" s="22" t="n">
        <v>60</v>
      </c>
      <c r="D20" s="23" t="inlineStr">
        <is>
          <t>Sneha</t>
        </is>
      </c>
      <c r="E20" s="24">
        <f>E19+C20</f>
        <v/>
      </c>
      <c r="F20" s="24">
        <f>2400-E20</f>
        <v/>
      </c>
      <c r="G20" s="25">
        <f>E20/2400</f>
        <v/>
      </c>
      <c r="H20" s="22">
        <f>IF(G20&gt;=1, "100.0% (Package Over)", TEXT(MIN(G20*100, 99.9), "0.0") &amp; "%")</f>
        <v/>
      </c>
    </row>
    <row r="21" ht="15.75" customHeight="1" s="21">
      <c r="A21" s="22" t="n">
        <v>17</v>
      </c>
      <c r="B21" s="22" t="inlineStr">
        <is>
          <t>06/11/2025</t>
        </is>
      </c>
      <c r="C21" s="22" t="n">
        <v>60</v>
      </c>
      <c r="D21" s="23" t="inlineStr">
        <is>
          <t>Soma</t>
        </is>
      </c>
      <c r="E21" s="24">
        <f>E20+C21</f>
        <v/>
      </c>
      <c r="F21" s="24">
        <f>2400-E21</f>
        <v/>
      </c>
      <c r="G21" s="25">
        <f>E21/2400</f>
        <v/>
      </c>
      <c r="H21" s="22">
        <f>IF(G21&gt;=1, "100.0% (Package Over)", TEXT(MIN(G21*100, 99.9), "0.0") &amp; "%")</f>
        <v/>
      </c>
    </row>
    <row r="22" ht="15.75" customHeight="1" s="21">
      <c r="A22" s="22" t="n">
        <v>18</v>
      </c>
      <c r="B22" s="22" t="inlineStr">
        <is>
          <t>16/12/2025</t>
        </is>
      </c>
      <c r="C22" s="22" t="n">
        <v>60</v>
      </c>
      <c r="D22" s="23" t="inlineStr">
        <is>
          <t>Soma</t>
        </is>
      </c>
      <c r="E22" s="24">
        <f>E21+C22</f>
        <v/>
      </c>
      <c r="F22" s="24">
        <f>2400-E22</f>
        <v/>
      </c>
      <c r="G22" s="25">
        <f>E22/2400</f>
        <v/>
      </c>
      <c r="H22" s="22">
        <f>IF(G22&gt;=1, "100.0% (Package Over)", TEXT(MIN(G22*100, 99.9), "0.0") &amp; "%")</f>
        <v/>
      </c>
    </row>
    <row r="23" ht="15.75" customHeight="1" s="21">
      <c r="A23" s="22" t="n">
        <v>19</v>
      </c>
      <c r="B23" s="22" t="inlineStr">
        <is>
          <t>18/12/2025</t>
        </is>
      </c>
      <c r="C23" s="22" t="n">
        <v>60</v>
      </c>
      <c r="D23" s="23" t="inlineStr">
        <is>
          <t>Daliya</t>
        </is>
      </c>
      <c r="E23" s="24">
        <f>E22+C23</f>
        <v/>
      </c>
      <c r="F23" s="24">
        <f>2400-E23</f>
        <v/>
      </c>
      <c r="G23" s="25">
        <f>E23/2400</f>
        <v/>
      </c>
      <c r="H23" s="22">
        <f>IF(G23&gt;=1, "100.0% (Package Over)", TEXT(MIN(G23*100, 99.9), "0.0") &amp; "%")</f>
        <v/>
      </c>
    </row>
    <row r="24" ht="15.75" customHeight="1" s="21">
      <c r="A24" s="22" t="n">
        <v>20</v>
      </c>
      <c r="B24" s="22" t="inlineStr">
        <is>
          <t>19/12/2025</t>
        </is>
      </c>
      <c r="C24" s="22" t="n">
        <v>60</v>
      </c>
      <c r="D24" s="23" t="inlineStr">
        <is>
          <t>Riya</t>
        </is>
      </c>
      <c r="E24" s="24">
        <f>E23+C24</f>
        <v/>
      </c>
      <c r="F24" s="24">
        <f>2400-E24</f>
        <v/>
      </c>
      <c r="G24" s="25">
        <f>E24/2400</f>
        <v/>
      </c>
      <c r="H24" s="22">
        <f>IF(G24&gt;=1, "100.0% (Package Over)", TEXT(MIN(G24*100, 99.9), "0.0") &amp; "%")</f>
        <v/>
      </c>
    </row>
    <row r="25" ht="15.75" customHeight="1" s="21">
      <c r="A25" s="22" t="n">
        <v>21</v>
      </c>
      <c r="B25" s="22" t="inlineStr">
        <is>
          <t>24/12/2025</t>
        </is>
      </c>
      <c r="C25" s="22" t="n">
        <v>60</v>
      </c>
      <c r="D25" s="23" t="inlineStr">
        <is>
          <t>Riya (R.C. Yadav)</t>
        </is>
      </c>
      <c r="E25" s="24">
        <f>E24+C25</f>
        <v/>
      </c>
      <c r="F25" s="24">
        <f>2400-E25</f>
        <v/>
      </c>
      <c r="G25" s="25">
        <f>E25/2400</f>
        <v/>
      </c>
      <c r="H25" s="22">
        <f>IF(G25&gt;=1, "100.0% (Package Over)", TEXT(MIN(G25*100, 99.9), "0.0") &amp; "%")</f>
        <v/>
      </c>
    </row>
    <row r="26" ht="15.75" customHeight="1" s="21">
      <c r="A26" s="22" t="n">
        <v>22</v>
      </c>
      <c r="B26" s="22" t="inlineStr">
        <is>
          <t>26/12/2025</t>
        </is>
      </c>
      <c r="C26" s="22" t="n">
        <v>60</v>
      </c>
      <c r="D26" s="23" t="inlineStr">
        <is>
          <t>Riya (R.C. Yadav)</t>
        </is>
      </c>
      <c r="E26" s="24">
        <f>E25+C26</f>
        <v/>
      </c>
      <c r="F26" s="24">
        <f>2400-E26</f>
        <v/>
      </c>
      <c r="G26" s="25">
        <f>E26/2400</f>
        <v/>
      </c>
      <c r="H26" s="22">
        <f>IF(G26&gt;=1, "100.0% (Package Over)", TEXT(MIN(G26*100, 99.9), "0.0") &amp; "%")</f>
        <v/>
      </c>
    </row>
    <row r="27" ht="15.75" customHeight="1" s="21">
      <c r="A27" s="22" t="n">
        <v>23</v>
      </c>
      <c r="B27" s="22" t="inlineStr">
        <is>
          <t>03/01/2026</t>
        </is>
      </c>
      <c r="C27" s="22" t="n">
        <v>60</v>
      </c>
      <c r="D27" s="23" t="inlineStr">
        <is>
          <t>Riya (R.C. Yadav)</t>
        </is>
      </c>
      <c r="E27" s="24">
        <f>E26+C27</f>
        <v/>
      </c>
      <c r="F27" s="24">
        <f>2400-E27</f>
        <v/>
      </c>
      <c r="G27" s="25">
        <f>E27/2400</f>
        <v/>
      </c>
      <c r="H27" s="22">
        <f>IF(G27&gt;=1, "100.0% (Package Over)", TEXT(MIN(G27*100, 99.9), "0.0") &amp; "%")</f>
        <v/>
      </c>
    </row>
    <row r="28" ht="15.75" customHeight="1" s="21">
      <c r="A28" s="22" t="n">
        <v>24</v>
      </c>
      <c r="B28" s="22" t="inlineStr">
        <is>
          <t>10/01/2026</t>
        </is>
      </c>
      <c r="C28" s="22" t="n">
        <v>60</v>
      </c>
      <c r="D28" s="23" t="inlineStr">
        <is>
          <t>Sneha (R.C. Yadav)</t>
        </is>
      </c>
      <c r="E28" s="24">
        <f>E27+C28</f>
        <v/>
      </c>
      <c r="F28" s="24">
        <f>2400-E28</f>
        <v/>
      </c>
      <c r="G28" s="25">
        <f>E28/2400</f>
        <v/>
      </c>
      <c r="H28" s="22">
        <f>IF(G28&gt;=1, "100.0% (Package Over)", TEXT(MIN(G28*100, 99.9), "0.0") &amp; "%")</f>
        <v/>
      </c>
    </row>
    <row r="29" ht="15.75" customHeight="1" s="21">
      <c r="A29" s="22" t="n">
        <v>25</v>
      </c>
      <c r="B29" s="22" t="inlineStr">
        <is>
          <t>20/01/2026</t>
        </is>
      </c>
      <c r="C29" s="22" t="n">
        <v>60</v>
      </c>
      <c r="D29" s="23" t="inlineStr">
        <is>
          <t>Soma (R.C. Yadav)</t>
        </is>
      </c>
      <c r="E29" s="24">
        <f>E28+C29</f>
        <v/>
      </c>
      <c r="F29" s="24">
        <f>2400-E29</f>
        <v/>
      </c>
      <c r="G29" s="25">
        <f>E29/2400</f>
        <v/>
      </c>
      <c r="H29" s="22">
        <f>IF(G29&gt;=1, "100.0% (Package Over)", TEXT(MIN(G29*100, 99.9), "0.0") &amp; "%")</f>
        <v/>
      </c>
    </row>
    <row r="30" ht="15.75" customHeight="1" s="21">
      <c r="A30" s="22" t="n">
        <v>26</v>
      </c>
      <c r="B30" s="22" t="inlineStr">
        <is>
          <t>22/01/2026</t>
        </is>
      </c>
      <c r="C30" s="22" t="n">
        <v>60</v>
      </c>
      <c r="D30" s="23" t="inlineStr">
        <is>
          <t>Soma (R.C. Yadav)</t>
        </is>
      </c>
      <c r="E30" s="24">
        <f>E29+C30</f>
        <v/>
      </c>
      <c r="F30" s="24">
        <f>2400-E30</f>
        <v/>
      </c>
      <c r="G30" s="25">
        <f>E30/2400</f>
        <v/>
      </c>
      <c r="H30" s="22">
        <f>IF(G30&gt;=1, "100.0% (Package Over)", TEXT(MIN(G30*100, 99.9), "0.0") &amp; "%")</f>
        <v/>
      </c>
    </row>
    <row r="31" ht="15.75" customHeight="1" s="21">
      <c r="A31" s="22" t="n">
        <v>27</v>
      </c>
      <c r="B31" s="22" t="inlineStr">
        <is>
          <t>24/01/2026</t>
        </is>
      </c>
      <c r="C31" s="22" t="n">
        <v>90</v>
      </c>
      <c r="D31" s="23" t="inlineStr">
        <is>
          <t>Shilpa (R.C. Yadav)</t>
        </is>
      </c>
      <c r="E31" s="24">
        <f>E30+C31</f>
        <v/>
      </c>
      <c r="F31" s="24">
        <f>2400-E31</f>
        <v/>
      </c>
      <c r="G31" s="25">
        <f>E31/2400</f>
        <v/>
      </c>
      <c r="H31" s="22">
        <f>IF(G31&gt;=1, "100.0% (Package Over)", TEXT(MIN(G31*100, 99.9), "0.0") &amp; "%")</f>
        <v/>
      </c>
    </row>
    <row r="32" ht="15.75" customHeight="1" s="21">
      <c r="A32" s="22" t="n">
        <v>28</v>
      </c>
      <c r="B32" s="22" t="inlineStr">
        <is>
          <t>29/01/2026</t>
        </is>
      </c>
      <c r="C32" s="22" t="n">
        <v>90</v>
      </c>
      <c r="D32" s="23" t="inlineStr">
        <is>
          <t>Shilpa (R.C. Yadav)</t>
        </is>
      </c>
      <c r="E32" s="24">
        <f>E31+C32</f>
        <v/>
      </c>
      <c r="F32" s="24">
        <f>2400-E32</f>
        <v/>
      </c>
      <c r="G32" s="25">
        <f>E32/2400</f>
        <v/>
      </c>
      <c r="H32" s="22">
        <f>IF(G32&gt;=1, "100.0% (Package Over)", TEXT(MIN(G32*100, 99.9), "0.0") &amp; "%")</f>
        <v/>
      </c>
    </row>
    <row r="33" ht="15.75" customHeight="1" s="21">
      <c r="A33" s="22" t="n">
        <v>29</v>
      </c>
      <c r="B33" s="22" t="inlineStr">
        <is>
          <t>31/01/2026</t>
        </is>
      </c>
      <c r="C33" s="22" t="n">
        <v>60</v>
      </c>
      <c r="D33" s="23" t="inlineStr">
        <is>
          <t>Sneha (R.C. Yadav)</t>
        </is>
      </c>
      <c r="E33" s="24">
        <f>E32+C33</f>
        <v/>
      </c>
      <c r="F33" s="24">
        <f>2400-E33</f>
        <v/>
      </c>
      <c r="G33" s="25">
        <f>E33/2400</f>
        <v/>
      </c>
      <c r="H33" s="22">
        <f>IF(G33&gt;=1, "100.0% (Package Over)", TEXT(MIN(G33*100, 99.9), "0.0") &amp; "%")</f>
        <v/>
      </c>
    </row>
    <row r="34" ht="15.75" customHeight="1" s="21">
      <c r="A34" s="22" t="n">
        <v>30</v>
      </c>
      <c r="B34" s="22" t="inlineStr">
        <is>
          <t>12/02/2026</t>
        </is>
      </c>
      <c r="C34" s="22" t="n">
        <v>60</v>
      </c>
      <c r="D34" s="23" t="inlineStr">
        <is>
          <t>Sneha (R.C. Yadav)</t>
        </is>
      </c>
      <c r="E34" s="24">
        <f>E33+C34</f>
        <v/>
      </c>
      <c r="F34" s="24">
        <f>2400-E34</f>
        <v/>
      </c>
      <c r="G34" s="25">
        <f>E34/2400</f>
        <v/>
      </c>
      <c r="H34" s="22">
        <f>IF(G34&gt;=1, "100.0% (Package Over)", TEXT(MIN(G34*100, 99.9), "0.0") &amp; "%")</f>
        <v/>
      </c>
    </row>
    <row r="35" ht="15.75" customHeight="1" s="21">
      <c r="A35" s="22" t="n">
        <v>31</v>
      </c>
      <c r="B35" s="22" t="inlineStr">
        <is>
          <t>03/02/2026</t>
        </is>
      </c>
      <c r="C35" s="22" t="n">
        <v>60</v>
      </c>
      <c r="D35" s="23" t="inlineStr">
        <is>
          <t>Soma / Foot Therapy (Shayoni)</t>
        </is>
      </c>
      <c r="E35" s="24">
        <f>E34+C35</f>
        <v/>
      </c>
      <c r="F35" s="24">
        <f>2400-E35</f>
        <v/>
      </c>
      <c r="G35" s="25">
        <f>E35/2400</f>
        <v/>
      </c>
      <c r="H35" s="22">
        <f>IF(G35&gt;=1, "100.0% (Package Over)", TEXT(MIN(G35*100, 99.9), "0.0") &amp; "%")</f>
        <v/>
      </c>
    </row>
    <row r="36" ht="15.75" customHeight="1" s="21">
      <c r="A36" s="22" t="n">
        <v>32</v>
      </c>
      <c r="B36" s="22" t="inlineStr">
        <is>
          <t>04/02/2026</t>
        </is>
      </c>
      <c r="C36" s="22" t="n">
        <v>60</v>
      </c>
      <c r="D36" s="23" t="inlineStr">
        <is>
          <t>Foot Therapy (Riya)</t>
        </is>
      </c>
      <c r="E36" s="24">
        <f>E35+C36</f>
        <v/>
      </c>
      <c r="F36" s="24">
        <f>2400-E36</f>
        <v/>
      </c>
      <c r="G36" s="25">
        <f>E36/2400</f>
        <v/>
      </c>
      <c r="H36" s="22">
        <f>IF(G36&gt;=1, "100.0% (Package Over)", TEXT(MIN(G36*100, 99.9), "0.0") &amp; "%")</f>
        <v/>
      </c>
    </row>
    <row r="37" ht="15.75" customHeight="1" s="21">
      <c r="A37" s="22" t="n">
        <v>33</v>
      </c>
      <c r="B37" s="22" t="inlineStr">
        <is>
          <t>25/02/2026</t>
        </is>
      </c>
      <c r="C37" s="22" t="n">
        <v>60</v>
      </c>
      <c r="D37" s="23" t="inlineStr">
        <is>
          <t>Foot HNS (Riya)</t>
        </is>
      </c>
      <c r="E37" s="24">
        <f>E36+C37</f>
        <v/>
      </c>
      <c r="F37" s="24">
        <f>2400-E37</f>
        <v/>
      </c>
      <c r="G37" s="25">
        <f>E37/2400</f>
        <v/>
      </c>
      <c r="H37" s="22">
        <f>IF(G37&gt;=1, "100.0% (Package Over)", TEXT(MIN(G37*100, 99.9), "0.0") &amp; "%")</f>
        <v/>
      </c>
    </row>
    <row r="38" ht="15.75" customHeight="1" s="21">
      <c r="A38" s="22" t="n">
        <v>34</v>
      </c>
      <c r="B38" s="22" t="inlineStr">
        <is>
          <t>26/02/2026</t>
        </is>
      </c>
      <c r="C38" s="22" t="n">
        <v>60</v>
      </c>
      <c r="D38" s="23" t="inlineStr">
        <is>
          <t>Foot HNS</t>
        </is>
      </c>
      <c r="E38" s="24">
        <f>E37+C38</f>
        <v/>
      </c>
      <c r="F38" s="24">
        <f>2400-E38</f>
        <v/>
      </c>
      <c r="G38" s="25">
        <f>E38/2400</f>
        <v/>
      </c>
      <c r="H38" s="22">
        <f>IF(G38&gt;=1, "100.0% (Package Over)", TEXT(MIN(G38*100, 99.9), "0.0") &amp; "%")</f>
        <v/>
      </c>
    </row>
    <row r="39" ht="15.75" customHeight="1" s="21">
      <c r="A39" s="22" t="n">
        <v>35</v>
      </c>
      <c r="B39" s="22" t="inlineStr">
        <is>
          <t>28/02/2026</t>
        </is>
      </c>
      <c r="C39" s="22" t="n">
        <v>60</v>
      </c>
      <c r="D39" s="23" t="inlineStr">
        <is>
          <t>Foot HNS (Isha)</t>
        </is>
      </c>
      <c r="E39" s="24">
        <f>E38+C39</f>
        <v/>
      </c>
      <c r="F39" s="24">
        <f>2400-E39</f>
        <v/>
      </c>
      <c r="G39" s="25">
        <f>E39/2400</f>
        <v/>
      </c>
      <c r="H39" s="22">
        <f>IF(G39&gt;=1, "100.0% (Package Over)", TEXT(MIN(G39*100, 99.9), "0.0") &amp; "%")</f>
        <v/>
      </c>
    </row>
    <row r="40" ht="15.75" customHeight="1" s="21">
      <c r="A40" s="22" t="n">
        <v>36</v>
      </c>
      <c r="B40" s="22" t="inlineStr">
        <is>
          <t>05/03/2026</t>
        </is>
      </c>
      <c r="C40" s="22" t="n">
        <v>60</v>
      </c>
      <c r="D40" s="23" t="inlineStr">
        <is>
          <t>Foot HNS (Isha)</t>
        </is>
      </c>
      <c r="E40" s="24">
        <f>E39+C40</f>
        <v/>
      </c>
      <c r="F40" s="24">
        <f>2400-E40</f>
        <v/>
      </c>
      <c r="G40" s="25">
        <f>E40/2400</f>
        <v/>
      </c>
      <c r="H40" s="22">
        <f>IF(G40&gt;=1, "100.0% (Package Over)", TEXT(MIN(G40*100, 99.9), "0.0") &amp; "%")</f>
        <v/>
      </c>
    </row>
    <row r="41" ht="15.75" customHeight="1" s="21">
      <c r="A41" s="22" t="n">
        <v>37</v>
      </c>
      <c r="B41" s="22" t="inlineStr">
        <is>
          <t>08/03/2026</t>
        </is>
      </c>
      <c r="C41" s="22" t="n">
        <v>60</v>
      </c>
      <c r="D41" s="23" t="inlineStr">
        <is>
          <t>Foot HNS (Soma)</t>
        </is>
      </c>
      <c r="E41" s="24">
        <f>E40+C41</f>
        <v/>
      </c>
      <c r="F41" s="24">
        <f>2400-E41</f>
        <v/>
      </c>
      <c r="G41" s="25">
        <f>E41/2400</f>
        <v/>
      </c>
      <c r="H41" s="22">
        <f>IF(G41&gt;=1, "100.0% (Package Over)", TEXT(MIN(G41*100, 99.9), "0.0") &amp; "%")</f>
        <v/>
      </c>
    </row>
    <row r="42" ht="15.75" customHeight="1" s="21">
      <c r="A42" s="22" t="n">
        <v>38</v>
      </c>
      <c r="B42" s="22" t="inlineStr">
        <is>
          <t>10/03/2026</t>
        </is>
      </c>
      <c r="C42" s="22" t="n">
        <v>60</v>
      </c>
      <c r="D42" s="23" t="inlineStr">
        <is>
          <t>Foot HNS (Riya)</t>
        </is>
      </c>
      <c r="E42" s="24">
        <f>E41+C42</f>
        <v/>
      </c>
      <c r="F42" s="24">
        <f>2400-E42</f>
        <v/>
      </c>
      <c r="G42" s="25">
        <f>E42/2400</f>
        <v/>
      </c>
      <c r="H42" s="22">
        <f>IF(G42&gt;=1, "100.0% (Package Over)", TEXT(MIN(G42*100, 99.9), "0.0") &amp; "%")</f>
        <v/>
      </c>
    </row>
    <row r="43" ht="15.75" customHeight="1" s="21">
      <c r="A43" s="22" t="n">
        <v>39</v>
      </c>
      <c r="B43" s="22" t="inlineStr">
        <is>
          <t>12/03/2026</t>
        </is>
      </c>
      <c r="C43" s="22" t="n">
        <v>60</v>
      </c>
      <c r="D43" s="23" t="inlineStr">
        <is>
          <t>Foot HNS (Riya)</t>
        </is>
      </c>
      <c r="E43" s="24">
        <f>E42+C43</f>
        <v/>
      </c>
      <c r="F43" s="24">
        <f>2400-E43</f>
        <v/>
      </c>
      <c r="G43" s="25">
        <f>E43/2400</f>
        <v/>
      </c>
      <c r="H43" s="22">
        <f>IF(G43&gt;=1, "100.0% (Package Over)", TEXT(MIN(G43*100, 99.9), "0.0") &amp; "%")</f>
        <v/>
      </c>
    </row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1" min="1" max="1"/>
    <col width="14" customWidth="1" style="21" min="2" max="2"/>
    <col width="22" customWidth="1" style="21" min="3" max="3"/>
    <col width="30" customWidth="1" style="21" min="4" max="4"/>
    <col width="18" customWidth="1" style="21" min="5" max="6"/>
    <col width="20" customWidth="1" style="21" min="7" max="7"/>
    <col width="24" customWidth="1" style="21" min="8" max="8"/>
    <col width="8.710000000000001" customWidth="1" style="21" min="9" max="26"/>
  </cols>
  <sheetData>
    <row r="1">
      <c r="A1" s="1" t="inlineStr">
        <is>
          <t>CLIENT SESSION TRACKER: MR. INDRAJIT BASAK (MERGED)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5" t="inlineStr">
        <is>
          <t>Start Date: 18/08/2025  |  Package Details: Paid 5k for 8 hrs + New Package Paid 5k for 8 hrs  |  Total Package Capacity: 960 Mins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8" t="inlineStr">
        <is>
          <t>Session No.</t>
        </is>
      </c>
      <c r="B4" s="8" t="inlineStr">
        <is>
          <t>Session Date</t>
        </is>
      </c>
      <c r="C4" s="8" t="inlineStr">
        <is>
          <t>Duration (Mins/Value)</t>
        </is>
      </c>
      <c r="D4" s="8" t="inlineStr">
        <is>
          <t>Therapist / Details</t>
        </is>
      </c>
      <c r="E4" s="8" t="inlineStr">
        <is>
          <t>Cumulative Usage</t>
        </is>
      </c>
      <c r="F4" s="8" t="inlineStr">
        <is>
          <t>Remaining Balance</t>
        </is>
      </c>
      <c r="G4" s="8" t="inlineStr">
        <is>
          <t>% Package Consumed</t>
        </is>
      </c>
      <c r="H4" s="8" t="inlineStr">
        <is>
          <t>Prob. Package Over Date</t>
        </is>
      </c>
    </row>
    <row r="5">
      <c r="A5" s="7" t="n">
        <v>1</v>
      </c>
      <c r="B5" s="7" t="inlineStr">
        <is>
          <t>18/08/2025</t>
        </is>
      </c>
      <c r="C5" s="7" t="n">
        <v>60</v>
      </c>
      <c r="D5" s="9" t="inlineStr">
        <is>
          <t>Soma</t>
        </is>
      </c>
      <c r="E5" s="7">
        <f>C5</f>
        <v/>
      </c>
      <c r="F5" s="7">
        <f>960-E5</f>
        <v/>
      </c>
      <c r="G5" s="11">
        <f>E5/960</f>
        <v/>
      </c>
      <c r="H5" s="7">
        <f>IF(G5&gt;=1, "100.0% (Package Over)", TEXT(MIN(G5*100, 99.9), "0.0") &amp; "%")</f>
        <v/>
      </c>
    </row>
    <row r="6">
      <c r="A6" s="7" t="n">
        <v>2</v>
      </c>
      <c r="B6" s="7" t="inlineStr">
        <is>
          <t>27/08/2025</t>
        </is>
      </c>
      <c r="C6" s="7" t="n">
        <v>60</v>
      </c>
      <c r="D6" s="9" t="inlineStr">
        <is>
          <t>Rajlakshmi</t>
        </is>
      </c>
      <c r="E6" s="7">
        <f>E5+C6</f>
        <v/>
      </c>
      <c r="F6" s="7">
        <f>960-E6</f>
        <v/>
      </c>
      <c r="G6" s="11">
        <f>E6/960</f>
        <v/>
      </c>
      <c r="H6" s="7">
        <f>IF(G6&gt;=1, "100.0% (Package Over)", TEXT(MIN(G6*100, 99.9), "0.0") &amp; "%")</f>
        <v/>
      </c>
    </row>
    <row r="7">
      <c r="A7" s="7" t="n">
        <v>3</v>
      </c>
      <c r="B7" s="7" t="inlineStr">
        <is>
          <t>05/09/2025</t>
        </is>
      </c>
      <c r="C7" s="7" t="n">
        <v>60</v>
      </c>
      <c r="D7" s="9" t="inlineStr">
        <is>
          <t>Soma</t>
        </is>
      </c>
      <c r="E7" s="7">
        <f>E6+C7</f>
        <v/>
      </c>
      <c r="F7" s="7">
        <f>960-E7</f>
        <v/>
      </c>
      <c r="G7" s="11">
        <f>E7/960</f>
        <v/>
      </c>
      <c r="H7" s="7">
        <f>IF(G7&gt;=1, "100.0% (Package Over)", TEXT(MIN(G7*100, 99.9), "0.0") &amp; "%")</f>
        <v/>
      </c>
    </row>
    <row r="8">
      <c r="A8" s="7" t="n">
        <v>4</v>
      </c>
      <c r="B8" s="7" t="inlineStr">
        <is>
          <t>08/09/2025</t>
        </is>
      </c>
      <c r="C8" s="7" t="n">
        <v>60</v>
      </c>
      <c r="D8" s="9" t="inlineStr">
        <is>
          <t>Soma</t>
        </is>
      </c>
      <c r="E8" s="7">
        <f>E7+C8</f>
        <v/>
      </c>
      <c r="F8" s="7">
        <f>960-E8</f>
        <v/>
      </c>
      <c r="G8" s="11">
        <f>E8/960</f>
        <v/>
      </c>
      <c r="H8" s="7">
        <f>IF(G8&gt;=1, "100.0% (Package Over)", TEXT(MIN(G8*100, 99.9), "0.0") &amp; "%")</f>
        <v/>
      </c>
    </row>
    <row r="9">
      <c r="A9" s="7" t="n">
        <v>5</v>
      </c>
      <c r="B9" s="7" t="inlineStr">
        <is>
          <t>03/10/2025</t>
        </is>
      </c>
      <c r="C9" s="7" t="n">
        <v>60</v>
      </c>
      <c r="D9" s="9" t="inlineStr">
        <is>
          <t>Soma</t>
        </is>
      </c>
      <c r="E9" s="7">
        <f>E8+C9</f>
        <v/>
      </c>
      <c r="F9" s="7">
        <f>960-E9</f>
        <v/>
      </c>
      <c r="G9" s="11">
        <f>E9/960</f>
        <v/>
      </c>
      <c r="H9" s="7">
        <f>IF(G9&gt;=1, "100.0% (Package Over)", TEXT(MIN(G9*100, 99.9), "0.0") &amp; "%")</f>
        <v/>
      </c>
    </row>
    <row r="10">
      <c r="A10" s="7" t="n">
        <v>6</v>
      </c>
      <c r="B10" s="7" t="inlineStr">
        <is>
          <t>25/12/2025</t>
        </is>
      </c>
      <c r="C10" s="7" t="n">
        <v>60</v>
      </c>
      <c r="D10" s="9" t="inlineStr">
        <is>
          <t>Daliya</t>
        </is>
      </c>
      <c r="E10" s="7">
        <f>E9+C10</f>
        <v/>
      </c>
      <c r="F10" s="7">
        <f>960-E10</f>
        <v/>
      </c>
      <c r="G10" s="11">
        <f>E10/960</f>
        <v/>
      </c>
      <c r="H10" s="7">
        <f>IF(G10&gt;=1, "100.0% (Package Over)", TEXT(MIN(G10*100, 99.9), "0.0") &amp; "%")</f>
        <v/>
      </c>
    </row>
    <row r="11">
      <c r="A11" s="7" t="n">
        <v>7</v>
      </c>
      <c r="B11" s="7" t="inlineStr">
        <is>
          <t>14/01/2026</t>
        </is>
      </c>
      <c r="C11" s="7" t="n">
        <v>60</v>
      </c>
      <c r="D11" s="9" t="inlineStr">
        <is>
          <t>Riya</t>
        </is>
      </c>
      <c r="E11" s="7">
        <f>E10+C11</f>
        <v/>
      </c>
      <c r="F11" s="7">
        <f>960-E11</f>
        <v/>
      </c>
      <c r="G11" s="11">
        <f>E11/960</f>
        <v/>
      </c>
      <c r="H11" s="7">
        <f>IF(G11&gt;=1, "100.0% (Package Over)", TEXT(MIN(G11*100, 99.9), "0.0") &amp; "%")</f>
        <v/>
      </c>
    </row>
    <row r="12">
      <c r="A12" s="7" t="n">
        <v>8</v>
      </c>
      <c r="B12" s="7" t="inlineStr">
        <is>
          <t>15/01/2026</t>
        </is>
      </c>
      <c r="C12" s="7" t="n">
        <v>60</v>
      </c>
      <c r="D12" s="9" t="inlineStr">
        <is>
          <t>Daliya (Foot)</t>
        </is>
      </c>
      <c r="E12" s="7">
        <f>E11+C12</f>
        <v/>
      </c>
      <c r="F12" s="7">
        <f>960-E12</f>
        <v/>
      </c>
      <c r="G12" s="11">
        <f>E12/960</f>
        <v/>
      </c>
      <c r="H12" s="7">
        <f>IF(G12&gt;=1, "100.0% (Package Over)", TEXT(MIN(G12*100, 99.9), "0.0") &amp; "%")</f>
        <v/>
      </c>
    </row>
    <row r="13">
      <c r="A13" s="7" t="n">
        <v>9</v>
      </c>
      <c r="B13" s="7" t="inlineStr">
        <is>
          <t>15/01/2026</t>
        </is>
      </c>
      <c r="C13" s="7" t="n">
        <v>60</v>
      </c>
      <c r="D13" s="9" t="inlineStr">
        <is>
          <t>Soma (HNS)</t>
        </is>
      </c>
      <c r="E13" s="7">
        <f>E12+C13</f>
        <v/>
      </c>
      <c r="F13" s="7">
        <f>960-E13</f>
        <v/>
      </c>
      <c r="G13" s="11">
        <f>E13/960</f>
        <v/>
      </c>
      <c r="H13" s="7">
        <f>IF(G13&gt;=1, "100.0% (Package Over)", TEXT(MIN(G13*100, 99.9), "0.0") &amp; "%")</f>
        <v/>
      </c>
    </row>
    <row r="14">
      <c r="A14" s="7" t="n">
        <v>10</v>
      </c>
      <c r="B14" s="7" t="inlineStr">
        <is>
          <t>06/02/2026</t>
        </is>
      </c>
      <c r="C14" s="7" t="n">
        <v>60</v>
      </c>
      <c r="D14" s="9" t="inlineStr">
        <is>
          <t>Shilpa (HNS)</t>
        </is>
      </c>
      <c r="E14" s="7">
        <f>E13+C14</f>
        <v/>
      </c>
      <c r="F14" s="7">
        <f>960-E14</f>
        <v/>
      </c>
      <c r="G14" s="11">
        <f>E14/960</f>
        <v/>
      </c>
      <c r="H14" s="7">
        <f>IF(G14&gt;=1, "100.0% (Package Over)", TEXT(MIN(G14*100, 99.9), "0.0") &amp; "%")</f>
        <v/>
      </c>
    </row>
    <row r="15">
      <c r="A15" s="7" t="n">
        <v>11</v>
      </c>
      <c r="B15" s="7" t="inlineStr">
        <is>
          <t>06/02/2026</t>
        </is>
      </c>
      <c r="C15" s="7" t="n">
        <v>60</v>
      </c>
      <c r="D15" s="9" t="inlineStr">
        <is>
          <t>Sneha (Foot)</t>
        </is>
      </c>
      <c r="E15" s="7">
        <f>E14+C15</f>
        <v/>
      </c>
      <c r="F15" s="7">
        <f>960-E15</f>
        <v/>
      </c>
      <c r="G15" s="11">
        <f>E15/960</f>
        <v/>
      </c>
      <c r="H15" s="7">
        <f>IF(G15&gt;=1, "100.0% (Package Over)", TEXT(MIN(G15*100, 99.9), "0.0") &amp; "%")</f>
        <v/>
      </c>
    </row>
    <row r="16">
      <c r="A16" s="7" t="n">
        <v>12</v>
      </c>
      <c r="B16" s="7" t="inlineStr">
        <is>
          <t>08/02/2026</t>
        </is>
      </c>
      <c r="C16" s="7" t="n">
        <v>60</v>
      </c>
      <c r="D16" s="9" t="inlineStr">
        <is>
          <t>Isha (Foot)</t>
        </is>
      </c>
      <c r="E16" s="7">
        <f>E15+C16</f>
        <v/>
      </c>
      <c r="F16" s="7">
        <f>960-E16</f>
        <v/>
      </c>
      <c r="G16" s="11">
        <f>E16/960</f>
        <v/>
      </c>
      <c r="H16" s="7">
        <f>IF(G16&gt;=1, "100.0% (Package Over)", TEXT(MIN(G16*100, 99.9), "0.0") &amp; "%")</f>
        <v/>
      </c>
    </row>
    <row r="17">
      <c r="A17" s="7" t="n">
        <v>13</v>
      </c>
      <c r="B17" s="7" t="inlineStr">
        <is>
          <t>08/02/2026</t>
        </is>
      </c>
      <c r="C17" s="7" t="n">
        <v>30</v>
      </c>
      <c r="D17" s="9" t="inlineStr">
        <is>
          <t>Riya (HNS)</t>
        </is>
      </c>
      <c r="E17" s="7">
        <f>E16+C17</f>
        <v/>
      </c>
      <c r="F17" s="7">
        <f>960-E17</f>
        <v/>
      </c>
      <c r="G17" s="11">
        <f>E17/960</f>
        <v/>
      </c>
      <c r="H17" s="7">
        <f>IF(G17&gt;=1, "100.0% (Package Over)", TEXT(MIN(G17*100, 99.9), "0.0") &amp; "%")</f>
        <v/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1" min="1" max="1"/>
    <col width="14" customWidth="1" style="21" min="2" max="2"/>
    <col width="22" customWidth="1" style="21" min="3" max="3"/>
    <col width="30" customWidth="1" style="21" min="4" max="4"/>
    <col width="18" customWidth="1" style="21" min="5" max="6"/>
    <col width="20" customWidth="1" style="21" min="7" max="7"/>
    <col width="24" customWidth="1" style="21" min="8" max="8"/>
    <col width="8.710000000000001" customWidth="1" style="21" min="9" max="26"/>
  </cols>
  <sheetData>
    <row r="1">
      <c r="A1" s="1" t="inlineStr">
        <is>
          <t>CLIENT SESSION TRACKER: MR. SUMEET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5" t="inlineStr">
        <is>
          <t>Start Date: 20/08/2025  |  Package Details: Paid 10k for 15 hrs (900 Mins)  |  Total Package Capacity: 900 Mins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8" t="inlineStr">
        <is>
          <t>Session No.</t>
        </is>
      </c>
      <c r="B4" s="8" t="inlineStr">
        <is>
          <t>Session Date</t>
        </is>
      </c>
      <c r="C4" s="8" t="inlineStr">
        <is>
          <t>Duration (Mins/Value)</t>
        </is>
      </c>
      <c r="D4" s="8" t="inlineStr">
        <is>
          <t>Therapist / Details</t>
        </is>
      </c>
      <c r="E4" s="8" t="inlineStr">
        <is>
          <t>Cumulative Usage</t>
        </is>
      </c>
      <c r="F4" s="8" t="inlineStr">
        <is>
          <t>Remaining Balance</t>
        </is>
      </c>
      <c r="G4" s="8" t="inlineStr">
        <is>
          <t>% Package Consumed</t>
        </is>
      </c>
      <c r="H4" s="8" t="inlineStr">
        <is>
          <t>Prob. Package Over Date</t>
        </is>
      </c>
    </row>
    <row r="5">
      <c r="A5" s="7" t="n">
        <v>1</v>
      </c>
      <c r="B5" s="7" t="inlineStr">
        <is>
          <t>20/08/2025</t>
        </is>
      </c>
      <c r="C5" s="7" t="n">
        <v>90</v>
      </c>
      <c r="D5" s="9" t="inlineStr">
        <is>
          <t>Soma</t>
        </is>
      </c>
      <c r="E5" s="7">
        <f>C5</f>
        <v/>
      </c>
      <c r="F5" s="7">
        <f>900-E5</f>
        <v/>
      </c>
      <c r="G5" s="11">
        <f>E5/900</f>
        <v/>
      </c>
      <c r="H5" s="7">
        <f>IF(G5&gt;=1, "100.0% (Package Over)", TEXT(MIN(G5*100, 99.9), "0.0") &amp; "%")</f>
        <v/>
      </c>
    </row>
    <row r="6">
      <c r="A6" s="7" t="n">
        <v>2</v>
      </c>
      <c r="B6" s="7" t="inlineStr">
        <is>
          <t>20/08/2025</t>
        </is>
      </c>
      <c r="C6" s="7" t="n">
        <v>0</v>
      </c>
      <c r="D6" s="9" t="inlineStr">
        <is>
          <t>Puja (90m Complementary)</t>
        </is>
      </c>
      <c r="E6" s="7">
        <f>E5+C6</f>
        <v/>
      </c>
      <c r="F6" s="7">
        <f>900-E6</f>
        <v/>
      </c>
      <c r="G6" s="11">
        <f>E6/900</f>
        <v/>
      </c>
      <c r="H6" s="7">
        <f>IF(G6&gt;=1, "100.0% (Package Over)", TEXT(MIN(G6*100, 99.9), "0.0") &amp; "%")</f>
        <v/>
      </c>
    </row>
    <row r="7">
      <c r="A7" s="7" t="n">
        <v>3</v>
      </c>
      <c r="B7" s="7" t="inlineStr">
        <is>
          <t>18/10/2025</t>
        </is>
      </c>
      <c r="C7" s="7" t="n">
        <v>90</v>
      </c>
      <c r="D7" s="9" t="inlineStr">
        <is>
          <t>Soma</t>
        </is>
      </c>
      <c r="E7" s="7">
        <f>E6+C7</f>
        <v/>
      </c>
      <c r="F7" s="7">
        <f>900-E7</f>
        <v/>
      </c>
      <c r="G7" s="11">
        <f>E7/900</f>
        <v/>
      </c>
      <c r="H7" s="7">
        <f>IF(G7&gt;=1, "100.0% (Package Over)", TEXT(MIN(G7*100, 99.9), "0.0") &amp; "%")</f>
        <v/>
      </c>
    </row>
    <row r="8">
      <c r="A8" s="7" t="n">
        <v>4</v>
      </c>
      <c r="B8" s="7" t="inlineStr">
        <is>
          <t>18/10/2025</t>
        </is>
      </c>
      <c r="C8" s="7" t="n">
        <v>90</v>
      </c>
      <c r="D8" s="9" t="inlineStr">
        <is>
          <t>Ritnika</t>
        </is>
      </c>
      <c r="E8" s="7">
        <f>E7+C8</f>
        <v/>
      </c>
      <c r="F8" s="7">
        <f>900-E8</f>
        <v/>
      </c>
      <c r="G8" s="11">
        <f>E8/900</f>
        <v/>
      </c>
      <c r="H8" s="7">
        <f>IF(G8&gt;=1, "100.0% (Package Over)", TEXT(MIN(G8*100, 99.9), "0.0") &amp; "%")</f>
        <v/>
      </c>
    </row>
    <row r="9">
      <c r="A9" s="7" t="n">
        <v>5</v>
      </c>
      <c r="B9" s="7" t="inlineStr">
        <is>
          <t>15/12/2025</t>
        </is>
      </c>
      <c r="C9" s="7" t="n">
        <v>90</v>
      </c>
      <c r="D9" s="9" t="inlineStr">
        <is>
          <t>Ritnika</t>
        </is>
      </c>
      <c r="E9" s="7">
        <f>E8+C9</f>
        <v/>
      </c>
      <c r="F9" s="7">
        <f>900-E9</f>
        <v/>
      </c>
      <c r="G9" s="11">
        <f>E9/900</f>
        <v/>
      </c>
      <c r="H9" s="7">
        <f>IF(G9&gt;=1, "100.0% (Package Over)", TEXT(MIN(G9*100, 99.9), "0.0") &amp; "%")</f>
        <v/>
      </c>
    </row>
    <row r="10">
      <c r="A10" s="7" t="n">
        <v>6</v>
      </c>
      <c r="B10" s="7" t="inlineStr">
        <is>
          <t>15/12/2025</t>
        </is>
      </c>
      <c r="C10" s="7" t="n">
        <v>30</v>
      </c>
      <c r="D10" s="9" t="inlineStr">
        <is>
          <t>Soma</t>
        </is>
      </c>
      <c r="E10" s="7">
        <f>E9+C10</f>
        <v/>
      </c>
      <c r="F10" s="7">
        <f>900-E10</f>
        <v/>
      </c>
      <c r="G10" s="11">
        <f>E10/900</f>
        <v/>
      </c>
      <c r="H10" s="7">
        <f>IF(G10&gt;=1, "100.0% (Package Over)", TEXT(MIN(G10*100, 99.9), "0.0") &amp; "%")</f>
        <v/>
      </c>
    </row>
    <row r="11">
      <c r="A11" s="7" t="n">
        <v>7</v>
      </c>
      <c r="B11" s="7" t="inlineStr">
        <is>
          <t>20/03/2026</t>
        </is>
      </c>
      <c r="C11" s="7" t="n">
        <v>60</v>
      </c>
      <c r="D11" s="9" t="inlineStr">
        <is>
          <t>Soma</t>
        </is>
      </c>
      <c r="E11" s="7">
        <f>E10+C11</f>
        <v/>
      </c>
      <c r="F11" s="7">
        <f>900-E11</f>
        <v/>
      </c>
      <c r="G11" s="11">
        <f>E11/900</f>
        <v/>
      </c>
      <c r="H11" s="7">
        <f>IF(G11&gt;=1, "100.0% (Package Over)", TEXT(MIN(G11*100, 99.9), "0.0") &amp; "%")</f>
        <v/>
      </c>
    </row>
    <row r="12">
      <c r="A12" s="7" t="n">
        <v>8</v>
      </c>
      <c r="B12" s="7" t="inlineStr">
        <is>
          <t>20/08/2026</t>
        </is>
      </c>
      <c r="C12" s="7" t="n">
        <v>60</v>
      </c>
      <c r="D12" s="9" t="inlineStr">
        <is>
          <t>Isha</t>
        </is>
      </c>
      <c r="E12" s="7">
        <f>E11+C12</f>
        <v/>
      </c>
      <c r="F12" s="7">
        <f>900-E12</f>
        <v/>
      </c>
      <c r="G12" s="11">
        <f>E12/900</f>
        <v/>
      </c>
      <c r="H12" s="7">
        <f>IF(G12&gt;=1, "100.0% (Package Over)", TEXT(MIN(G12*100, 99.9), "0.0") &amp; "%")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</row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1" min="1" max="1"/>
    <col width="14" customWidth="1" style="21" min="2" max="2"/>
    <col width="22" customWidth="1" style="21" min="3" max="3"/>
    <col width="30" customWidth="1" style="21" min="4" max="4"/>
    <col width="18" customWidth="1" style="21" min="5" max="6"/>
    <col width="20" customWidth="1" style="21" min="7" max="7"/>
    <col width="24" customWidth="1" style="21" min="8" max="8"/>
    <col width="8.710000000000001" customWidth="1" style="21" min="9" max="26"/>
  </cols>
  <sheetData>
    <row r="1">
      <c r="A1" s="1" t="inlineStr">
        <is>
          <t>CLIENT SESSION TRACKER: MISS SAMAPTI ROY (MERGED)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5" t="inlineStr">
        <is>
          <t>Start Date: 24/08/2025  |  Package Details: Paid 5k for 7 hrs + Paid 5k for 8 hrs  |  Total Package Capacity: 900 Mins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8" t="inlineStr">
        <is>
          <t>Session No.</t>
        </is>
      </c>
      <c r="B4" s="8" t="inlineStr">
        <is>
          <t>Session Date</t>
        </is>
      </c>
      <c r="C4" s="8" t="inlineStr">
        <is>
          <t>Duration (Mins/Value)</t>
        </is>
      </c>
      <c r="D4" s="8" t="inlineStr">
        <is>
          <t>Therapist / Details</t>
        </is>
      </c>
      <c r="E4" s="8" t="inlineStr">
        <is>
          <t>Cumulative Usage</t>
        </is>
      </c>
      <c r="F4" s="8" t="inlineStr">
        <is>
          <t>Remaining Balance</t>
        </is>
      </c>
      <c r="G4" s="8" t="inlineStr">
        <is>
          <t>% Package Consumed</t>
        </is>
      </c>
      <c r="H4" s="8" t="inlineStr">
        <is>
          <t>Prob. Package Over Date</t>
        </is>
      </c>
    </row>
    <row r="5">
      <c r="A5" s="7" t="n">
        <v>1</v>
      </c>
      <c r="B5" s="7" t="inlineStr">
        <is>
          <t>24/08/2025</t>
        </is>
      </c>
      <c r="C5" s="7" t="n">
        <v>60</v>
      </c>
      <c r="D5" s="9" t="inlineStr">
        <is>
          <t>Puja</t>
        </is>
      </c>
      <c r="E5" s="7">
        <f>C5</f>
        <v/>
      </c>
      <c r="F5" s="7">
        <f>900-E5</f>
        <v/>
      </c>
      <c r="G5" s="11">
        <f>E5/900</f>
        <v/>
      </c>
      <c r="H5" s="7">
        <f>IF(G5&gt;=1, "100.0% (Package Over)", TEXT(MIN(G5*100, 99.9), "0.0") &amp; "%")</f>
        <v/>
      </c>
    </row>
    <row r="6">
      <c r="A6" s="7" t="n">
        <v>2</v>
      </c>
      <c r="B6" s="7" t="inlineStr">
        <is>
          <t>24/08/2025</t>
        </is>
      </c>
      <c r="C6" s="7" t="n">
        <v>60</v>
      </c>
      <c r="D6" s="9" t="inlineStr">
        <is>
          <t>Soma</t>
        </is>
      </c>
      <c r="E6" s="7">
        <f>E5+C6</f>
        <v/>
      </c>
      <c r="F6" s="7">
        <f>900-E6</f>
        <v/>
      </c>
      <c r="G6" s="11">
        <f>E6/900</f>
        <v/>
      </c>
      <c r="H6" s="7">
        <f>IF(G6&gt;=1, "100.0% (Package Over)", TEXT(MIN(G6*100, 99.9), "0.0") &amp; "%")</f>
        <v/>
      </c>
    </row>
    <row r="7">
      <c r="A7" s="7" t="n">
        <v>3</v>
      </c>
      <c r="B7" s="7" t="inlineStr">
        <is>
          <t>31/08/2025</t>
        </is>
      </c>
      <c r="C7" s="7" t="n">
        <v>60</v>
      </c>
      <c r="D7" s="9" t="inlineStr">
        <is>
          <t>Soma</t>
        </is>
      </c>
      <c r="E7" s="7">
        <f>E6+C7</f>
        <v/>
      </c>
      <c r="F7" s="7">
        <f>900-E7</f>
        <v/>
      </c>
      <c r="G7" s="11">
        <f>E7/900</f>
        <v/>
      </c>
      <c r="H7" s="7">
        <f>IF(G7&gt;=1, "100.0% (Package Over)", TEXT(MIN(G7*100, 99.9), "0.0") &amp; "%")</f>
        <v/>
      </c>
    </row>
    <row r="8">
      <c r="A8" s="7" t="n">
        <v>4</v>
      </c>
      <c r="B8" s="7" t="inlineStr">
        <is>
          <t>07/09/2025</t>
        </is>
      </c>
      <c r="C8" s="7" t="n">
        <v>60</v>
      </c>
      <c r="D8" s="9" t="inlineStr">
        <is>
          <t>Soma</t>
        </is>
      </c>
      <c r="E8" s="7">
        <f>E7+C8</f>
        <v/>
      </c>
      <c r="F8" s="7">
        <f>900-E8</f>
        <v/>
      </c>
      <c r="G8" s="11">
        <f>E8/900</f>
        <v/>
      </c>
      <c r="H8" s="7">
        <f>IF(G8&gt;=1, "100.0% (Package Over)", TEXT(MIN(G8*100, 99.9), "0.0") &amp; "%")</f>
        <v/>
      </c>
    </row>
    <row r="9">
      <c r="A9" s="7" t="n">
        <v>5</v>
      </c>
      <c r="B9" s="7" t="inlineStr">
        <is>
          <t>07/09/2025</t>
        </is>
      </c>
      <c r="C9" s="7" t="n">
        <v>60</v>
      </c>
      <c r="D9" s="9" t="inlineStr">
        <is>
          <t>Suparna</t>
        </is>
      </c>
      <c r="E9" s="7">
        <f>E8+C9</f>
        <v/>
      </c>
      <c r="F9" s="7">
        <f>900-E9</f>
        <v/>
      </c>
      <c r="G9" s="11">
        <f>E9/900</f>
        <v/>
      </c>
      <c r="H9" s="7">
        <f>IF(G9&gt;=1, "100.0% (Package Over)", TEXT(MIN(G9*100, 99.9), "0.0") &amp; "%")</f>
        <v/>
      </c>
    </row>
    <row r="10">
      <c r="A10" s="7" t="n">
        <v>6</v>
      </c>
      <c r="B10" s="7" t="inlineStr">
        <is>
          <t>23/11/2025</t>
        </is>
      </c>
      <c r="C10" s="7" t="n">
        <v>60</v>
      </c>
      <c r="D10" s="9" t="inlineStr">
        <is>
          <t>Ritika</t>
        </is>
      </c>
      <c r="E10" s="7">
        <f>E9+C10</f>
        <v/>
      </c>
      <c r="F10" s="7">
        <f>900-E10</f>
        <v/>
      </c>
      <c r="G10" s="11">
        <f>E10/900</f>
        <v/>
      </c>
      <c r="H10" s="7">
        <f>IF(G10&gt;=1, "100.0% (Package Over)", TEXT(MIN(G10*100, 99.9), "0.0") &amp; "%")</f>
        <v/>
      </c>
    </row>
    <row r="11">
      <c r="A11" s="7" t="n">
        <v>7</v>
      </c>
      <c r="B11" s="7" t="inlineStr">
        <is>
          <t>23/11/2025</t>
        </is>
      </c>
      <c r="C11" s="7" t="n">
        <v>60</v>
      </c>
      <c r="D11" s="9" t="inlineStr">
        <is>
          <t>Swapna</t>
        </is>
      </c>
      <c r="E11" s="7">
        <f>E10+C11</f>
        <v/>
      </c>
      <c r="F11" s="7">
        <f>900-E11</f>
        <v/>
      </c>
      <c r="G11" s="11">
        <f>E11/900</f>
        <v/>
      </c>
      <c r="H11" s="7">
        <f>IF(G11&gt;=1, "100.0% (Package Over)", TEXT(MIN(G11*100, 99.9), "0.0") &amp; "%")</f>
        <v/>
      </c>
    </row>
    <row r="12">
      <c r="A12" s="7" t="n">
        <v>8</v>
      </c>
      <c r="B12" s="7" t="inlineStr">
        <is>
          <t>28/12/2025</t>
        </is>
      </c>
      <c r="C12" s="7" t="n">
        <v>60</v>
      </c>
      <c r="D12" s="9" t="inlineStr">
        <is>
          <t>Sneha (FHNS)</t>
        </is>
      </c>
      <c r="E12" s="7">
        <f>E11+C12</f>
        <v/>
      </c>
      <c r="F12" s="7">
        <f>900-E12</f>
        <v/>
      </c>
      <c r="G12" s="11">
        <f>E12/900</f>
        <v/>
      </c>
      <c r="H12" s="7">
        <f>IF(G12&gt;=1, "100.0% (Package Over)", TEXT(MIN(G12*100, 99.9), "0.0") &amp; "%")</f>
        <v/>
      </c>
    </row>
    <row r="13">
      <c r="A13" s="7" t="n">
        <v>9</v>
      </c>
      <c r="B13" s="7" t="inlineStr">
        <is>
          <t>28/12/2025</t>
        </is>
      </c>
      <c r="C13" s="7" t="n">
        <v>60</v>
      </c>
      <c r="D13" s="9" t="inlineStr">
        <is>
          <t>Riya (FHNS)</t>
        </is>
      </c>
      <c r="E13" s="7">
        <f>E12+C13</f>
        <v/>
      </c>
      <c r="F13" s="7">
        <f>900-E13</f>
        <v/>
      </c>
      <c r="G13" s="11">
        <f>E13/900</f>
        <v/>
      </c>
      <c r="H13" s="7">
        <f>IF(G13&gt;=1, "100.0% (Package Over)", TEXT(MIN(G13*100, 99.9), "0.0") &amp; "%")</f>
        <v/>
      </c>
    </row>
    <row r="14">
      <c r="A14" s="7" t="n">
        <v>10</v>
      </c>
      <c r="B14" s="7" t="inlineStr">
        <is>
          <t>04/01/2026</t>
        </is>
      </c>
      <c r="C14" s="7" t="n">
        <v>60</v>
      </c>
      <c r="D14" s="9" t="inlineStr">
        <is>
          <t>Sneha (FHNS)</t>
        </is>
      </c>
      <c r="E14" s="7">
        <f>E13+C14</f>
        <v/>
      </c>
      <c r="F14" s="7">
        <f>900-E14</f>
        <v/>
      </c>
      <c r="G14" s="11">
        <f>E14/900</f>
        <v/>
      </c>
      <c r="H14" s="7">
        <f>IF(G14&gt;=1, "100.0% (Package Over)", TEXT(MIN(G14*100, 99.9), "0.0") &amp; "%")</f>
        <v/>
      </c>
    </row>
    <row r="15">
      <c r="A15" s="7" t="n">
        <v>11</v>
      </c>
      <c r="B15" s="7" t="inlineStr">
        <is>
          <t>04/01/2026</t>
        </is>
      </c>
      <c r="C15" s="7" t="n">
        <v>60</v>
      </c>
      <c r="D15" s="9" t="inlineStr">
        <is>
          <t>Daliya (FHNS)</t>
        </is>
      </c>
      <c r="E15" s="7">
        <f>E14+C15</f>
        <v/>
      </c>
      <c r="F15" s="7">
        <f>900-E15</f>
        <v/>
      </c>
      <c r="G15" s="11">
        <f>E15/900</f>
        <v/>
      </c>
      <c r="H15" s="7">
        <f>IF(G15&gt;=1, "100.0% (Package Over)", TEXT(MIN(G15*100, 99.9), "0.0") &amp; "%")</f>
        <v/>
      </c>
    </row>
    <row r="16">
      <c r="A16" s="7" t="n">
        <v>12</v>
      </c>
      <c r="B16" s="7" t="inlineStr">
        <is>
          <t>18/01/2026</t>
        </is>
      </c>
      <c r="C16" s="7" t="n">
        <v>60</v>
      </c>
      <c r="D16" s="9" t="inlineStr">
        <is>
          <t>Riya (FHNS)</t>
        </is>
      </c>
      <c r="E16" s="7">
        <f>E15+C16</f>
        <v/>
      </c>
      <c r="F16" s="7">
        <f>900-E16</f>
        <v/>
      </c>
      <c r="G16" s="11">
        <f>E16/900</f>
        <v/>
      </c>
      <c r="H16" s="7">
        <f>IF(G16&gt;=1, "100.0% (Package Over)", TEXT(MIN(G16*100, 99.9), "0.0") &amp; "%")</f>
        <v/>
      </c>
    </row>
    <row r="17">
      <c r="A17" s="7" t="n">
        <v>13</v>
      </c>
      <c r="B17" s="7" t="inlineStr">
        <is>
          <t>26/01/2026</t>
        </is>
      </c>
      <c r="C17" s="7" t="n">
        <v>60</v>
      </c>
      <c r="D17" s="9" t="inlineStr">
        <is>
          <t>Riya (FHNS)</t>
        </is>
      </c>
      <c r="E17" s="7">
        <f>E16+C17</f>
        <v/>
      </c>
      <c r="F17" s="7">
        <f>900-E17</f>
        <v/>
      </c>
      <c r="G17" s="11">
        <f>E17/900</f>
        <v/>
      </c>
      <c r="H17" s="7">
        <f>IF(G17&gt;=1, "100.0% (Package Over)", TEXT(MIN(G17*100, 99.9), "0.0") &amp; "%")</f>
        <v/>
      </c>
    </row>
    <row r="18">
      <c r="A18" s="7" t="n">
        <v>14</v>
      </c>
      <c r="B18" s="7" t="inlineStr">
        <is>
          <t>01/02/2026</t>
        </is>
      </c>
      <c r="C18" s="7" t="n">
        <v>60</v>
      </c>
      <c r="D18" s="9" t="inlineStr">
        <is>
          <t>Riya (FHNS)</t>
        </is>
      </c>
      <c r="E18" s="7">
        <f>E17+C18</f>
        <v/>
      </c>
      <c r="F18" s="7">
        <f>900-E18</f>
        <v/>
      </c>
      <c r="G18" s="11">
        <f>E18/900</f>
        <v/>
      </c>
      <c r="H18" s="7">
        <f>IF(G18&gt;=1, "100.0% (Package Over)", TEXT(MIN(G18*100, 99.9), "0.0") &amp; "%")</f>
        <v/>
      </c>
    </row>
    <row r="19">
      <c r="A19" s="7" t="n">
        <v>15</v>
      </c>
      <c r="B19" s="7" t="inlineStr">
        <is>
          <t>15/02/2026</t>
        </is>
      </c>
      <c r="C19" s="7" t="n">
        <v>60</v>
      </c>
      <c r="D19" s="9" t="inlineStr">
        <is>
          <t>Daliya (FHNS)</t>
        </is>
      </c>
      <c r="E19" s="7">
        <f>E18+C19</f>
        <v/>
      </c>
      <c r="F19" s="7">
        <f>900-E19</f>
        <v/>
      </c>
      <c r="G19" s="11">
        <f>E19/900</f>
        <v/>
      </c>
      <c r="H19" s="7">
        <f>IF(G19&gt;=1, "100.0% (Package Over)", TEXT(MIN(G19*100, 99.9), "0.0") &amp; "%")</f>
        <v/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</row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1" min="1" max="1"/>
    <col width="14" customWidth="1" style="21" min="2" max="2"/>
    <col width="22" customWidth="1" style="21" min="3" max="3"/>
    <col width="30" customWidth="1" style="21" min="4" max="4"/>
    <col width="18" customWidth="1" style="21" min="5" max="6"/>
    <col width="20" customWidth="1" style="21" min="7" max="7"/>
    <col width="24" customWidth="1" style="21" min="8" max="8"/>
    <col width="8.710000000000001" customWidth="1" style="21" min="9" max="26"/>
  </cols>
  <sheetData>
    <row r="1">
      <c r="A1" s="1" t="inlineStr">
        <is>
          <t>CLIENT SESSION TRACKER: MR. M.K. SARKAR (MERGED)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5" t="inlineStr">
        <is>
          <t>Start Date: 08/09/2025  |  Package Details: Paid 5k for 10 hrs + Anniversary Special Offer (5k for 10 hrs)  |  Total Package Capacity: 1200 Mins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8" t="inlineStr">
        <is>
          <t>Session No.</t>
        </is>
      </c>
      <c r="B4" s="8" t="inlineStr">
        <is>
          <t>Session Date</t>
        </is>
      </c>
      <c r="C4" s="8" t="inlineStr">
        <is>
          <t>Duration (Mins/Value)</t>
        </is>
      </c>
      <c r="D4" s="8" t="inlineStr">
        <is>
          <t>Therapist / Details</t>
        </is>
      </c>
      <c r="E4" s="8" t="inlineStr">
        <is>
          <t>Cumulative Usage</t>
        </is>
      </c>
      <c r="F4" s="8" t="inlineStr">
        <is>
          <t>Remaining Balance</t>
        </is>
      </c>
      <c r="G4" s="8" t="inlineStr">
        <is>
          <t>% Package Consumed</t>
        </is>
      </c>
      <c r="H4" s="8" t="inlineStr">
        <is>
          <t>Prob. Package Over Date</t>
        </is>
      </c>
    </row>
    <row r="5">
      <c r="A5" s="7" t="n">
        <v>1</v>
      </c>
      <c r="B5" s="7" t="inlineStr">
        <is>
          <t>08/09/2025</t>
        </is>
      </c>
      <c r="C5" s="7" t="n">
        <v>60</v>
      </c>
      <c r="D5" s="9" t="inlineStr">
        <is>
          <t>Soma</t>
        </is>
      </c>
      <c r="E5" s="7">
        <f>C5</f>
        <v/>
      </c>
      <c r="F5" s="7">
        <f>1200-E5</f>
        <v/>
      </c>
      <c r="G5" s="11">
        <f>E5/1200</f>
        <v/>
      </c>
      <c r="H5" s="7">
        <f>IF(G5&gt;=1, "100.0% (Package Over)", TEXT(MIN(G5*100, 99.9), "0.0") &amp; "%")</f>
        <v/>
      </c>
    </row>
    <row r="6">
      <c r="A6" s="7" t="n">
        <v>2</v>
      </c>
      <c r="B6" s="7" t="inlineStr">
        <is>
          <t>08/10/2025</t>
        </is>
      </c>
      <c r="C6" s="7" t="n">
        <v>60</v>
      </c>
      <c r="D6" s="9" t="inlineStr">
        <is>
          <t>Sneha</t>
        </is>
      </c>
      <c r="E6" s="7">
        <f>E5+C6</f>
        <v/>
      </c>
      <c r="F6" s="7">
        <f>1200-E6</f>
        <v/>
      </c>
      <c r="G6" s="11">
        <f>E6/1200</f>
        <v/>
      </c>
      <c r="H6" s="7">
        <f>IF(G6&gt;=1, "100.0% (Package Over)", TEXT(MIN(G6*100, 99.9), "0.0") &amp; "%")</f>
        <v/>
      </c>
    </row>
    <row r="7">
      <c r="A7" s="7" t="n">
        <v>3</v>
      </c>
      <c r="B7" s="7" t="inlineStr">
        <is>
          <t>31/10/2025</t>
        </is>
      </c>
      <c r="C7" s="7" t="n">
        <v>60</v>
      </c>
      <c r="D7" s="9" t="inlineStr">
        <is>
          <t>Soma</t>
        </is>
      </c>
      <c r="E7" s="7">
        <f>E6+C7</f>
        <v/>
      </c>
      <c r="F7" s="7">
        <f>1200-E7</f>
        <v/>
      </c>
      <c r="G7" s="11">
        <f>E7/1200</f>
        <v/>
      </c>
      <c r="H7" s="7">
        <f>IF(G7&gt;=1, "100.0% (Package Over)", TEXT(MIN(G7*100, 99.9), "0.0") &amp; "%")</f>
        <v/>
      </c>
    </row>
    <row r="8">
      <c r="A8" s="7" t="n">
        <v>4</v>
      </c>
      <c r="B8" s="7" t="inlineStr">
        <is>
          <t>12/11/2025</t>
        </is>
      </c>
      <c r="C8" s="7" t="n">
        <v>60</v>
      </c>
      <c r="D8" s="9" t="inlineStr">
        <is>
          <t>Swapna</t>
        </is>
      </c>
      <c r="E8" s="7">
        <f>E7+C8</f>
        <v/>
      </c>
      <c r="F8" s="7">
        <f>1200-E8</f>
        <v/>
      </c>
      <c r="G8" s="11">
        <f>E8/1200</f>
        <v/>
      </c>
      <c r="H8" s="7">
        <f>IF(G8&gt;=1, "100.0% (Package Over)", TEXT(MIN(G8*100, 99.9), "0.0") &amp; "%")</f>
        <v/>
      </c>
    </row>
    <row r="9">
      <c r="A9" s="7" t="n">
        <v>5</v>
      </c>
      <c r="B9" s="7" t="inlineStr">
        <is>
          <t>18/11/2025</t>
        </is>
      </c>
      <c r="C9" s="7" t="n">
        <v>90</v>
      </c>
      <c r="D9" s="9" t="inlineStr">
        <is>
          <t>Ritika</t>
        </is>
      </c>
      <c r="E9" s="7">
        <f>E8+C9</f>
        <v/>
      </c>
      <c r="F9" s="7">
        <f>1200-E9</f>
        <v/>
      </c>
      <c r="G9" s="11">
        <f>E9/1200</f>
        <v/>
      </c>
      <c r="H9" s="7">
        <f>IF(G9&gt;=1, "100.0% (Package Over)", TEXT(MIN(G9*100, 99.9), "0.0") &amp; "%")</f>
        <v/>
      </c>
    </row>
    <row r="10">
      <c r="A10" s="7" t="n">
        <v>6</v>
      </c>
      <c r="B10" s="7" t="inlineStr">
        <is>
          <t>27/11/2025</t>
        </is>
      </c>
      <c r="C10" s="7" t="n">
        <v>90</v>
      </c>
      <c r="D10" s="9" t="inlineStr">
        <is>
          <t>Soma</t>
        </is>
      </c>
      <c r="E10" s="7">
        <f>E9+C10</f>
        <v/>
      </c>
      <c r="F10" s="7">
        <f>1200-E10</f>
        <v/>
      </c>
      <c r="G10" s="11">
        <f>E10/1200</f>
        <v/>
      </c>
      <c r="H10" s="7">
        <f>IF(G10&gt;=1, "100.0% (Package Over)", TEXT(MIN(G10*100, 99.9), "0.0") &amp; "%")</f>
        <v/>
      </c>
    </row>
    <row r="11">
      <c r="A11" s="7" t="n">
        <v>7</v>
      </c>
      <c r="B11" s="7" t="inlineStr">
        <is>
          <t>17/01/2026</t>
        </is>
      </c>
      <c r="C11" s="7" t="n">
        <v>60</v>
      </c>
      <c r="D11" s="9" t="inlineStr">
        <is>
          <t>Riya</t>
        </is>
      </c>
      <c r="E11" s="7">
        <f>E10+C11</f>
        <v/>
      </c>
      <c r="F11" s="7">
        <f>1200-E11</f>
        <v/>
      </c>
      <c r="G11" s="11">
        <f>E11/1200</f>
        <v/>
      </c>
      <c r="H11" s="7">
        <f>IF(G11&gt;=1, "100.0% (Package Over)", TEXT(MIN(G11*100, 99.9), "0.0") &amp; "%")</f>
        <v/>
      </c>
    </row>
    <row r="12">
      <c r="A12" s="7" t="n">
        <v>8</v>
      </c>
      <c r="B12" s="7" t="inlineStr">
        <is>
          <t>03/07/2026</t>
        </is>
      </c>
      <c r="C12" s="7" t="n">
        <v>30</v>
      </c>
      <c r="D12" s="9" t="inlineStr">
        <is>
          <t>Puja (HNSF)</t>
        </is>
      </c>
      <c r="E12" s="7">
        <f>E11+C12</f>
        <v/>
      </c>
      <c r="F12" s="7">
        <f>1200-E12</f>
        <v/>
      </c>
      <c r="G12" s="11">
        <f>E12/1200</f>
        <v/>
      </c>
      <c r="H12" s="7">
        <f>IF(G12&gt;=1, "100.0% (Package Over)", TEXT(MIN(G12*100, 99.9), "0.0") &amp; "%")</f>
        <v/>
      </c>
    </row>
    <row r="13">
      <c r="A13" s="7" t="n">
        <v>9</v>
      </c>
      <c r="B13" s="7" t="inlineStr">
        <is>
          <t>09/07/2026</t>
        </is>
      </c>
      <c r="C13" s="7" t="n">
        <v>30</v>
      </c>
      <c r="D13" s="9" t="inlineStr">
        <is>
          <t>Puja (HNS)</t>
        </is>
      </c>
      <c r="E13" s="7">
        <f>E12+C13</f>
        <v/>
      </c>
      <c r="F13" s="7">
        <f>1200-E13</f>
        <v/>
      </c>
      <c r="G13" s="11">
        <f>E13/1200</f>
        <v/>
      </c>
      <c r="H13" s="7">
        <f>IF(G13&gt;=1, "100.0% (Package Over)", TEXT(MIN(G13*100, 99.9), "0.0") &amp; "%")</f>
        <v/>
      </c>
    </row>
    <row r="14">
      <c r="A14" s="7" t="n">
        <v>10</v>
      </c>
      <c r="B14" s="7" t="inlineStr">
        <is>
          <t>09/07/2026</t>
        </is>
      </c>
      <c r="C14" s="7" t="n">
        <v>60</v>
      </c>
      <c r="D14" s="9" t="inlineStr">
        <is>
          <t>Puja (Foot)</t>
        </is>
      </c>
      <c r="E14" s="7">
        <f>E13+C14</f>
        <v/>
      </c>
      <c r="F14" s="7">
        <f>1200-E14</f>
        <v/>
      </c>
      <c r="G14" s="11">
        <f>E14/1200</f>
        <v/>
      </c>
      <c r="H14" s="7">
        <f>IF(G14&gt;=1, "100.0% (Package Over)", TEXT(MIN(G14*100, 99.9), "0.0") &amp; "%")</f>
        <v/>
      </c>
    </row>
    <row r="15">
      <c r="A15" s="7" t="n">
        <v>11</v>
      </c>
      <c r="B15" s="7" t="inlineStr">
        <is>
          <t>10/07/2026</t>
        </is>
      </c>
      <c r="C15" s="7" t="n">
        <v>30</v>
      </c>
      <c r="D15" s="9" t="inlineStr">
        <is>
          <t>Ankit (FHNS)</t>
        </is>
      </c>
      <c r="E15" s="7">
        <f>E14+C15</f>
        <v/>
      </c>
      <c r="F15" s="7">
        <f>1200-E15</f>
        <v/>
      </c>
      <c r="G15" s="11">
        <f>E15/1200</f>
        <v/>
      </c>
      <c r="H15" s="7">
        <f>IF(G15&gt;=1, "100.0% (Package Over)", TEXT(MIN(G15*100, 99.9), "0.0") &amp; "%")</f>
        <v/>
      </c>
    </row>
    <row r="16">
      <c r="A16" s="7" t="n">
        <v>12</v>
      </c>
      <c r="B16" s="7" t="inlineStr">
        <is>
          <t>22/07/2026</t>
        </is>
      </c>
      <c r="C16" s="7" t="n">
        <v>45</v>
      </c>
      <c r="D16" s="9" t="inlineStr">
        <is>
          <t>Ankit (HNSB)</t>
        </is>
      </c>
      <c r="E16" s="7">
        <f>E15+C16</f>
        <v/>
      </c>
      <c r="F16" s="7">
        <f>1200-E16</f>
        <v/>
      </c>
      <c r="G16" s="11">
        <f>E16/1200</f>
        <v/>
      </c>
      <c r="H16" s="7">
        <f>IF(G16&gt;=1, "100.0% (Package Over)", TEXT(MIN(G16*100, 99.9), "0.0") &amp; "%")</f>
        <v/>
      </c>
    </row>
    <row r="17">
      <c r="A17" s="7" t="n">
        <v>13</v>
      </c>
      <c r="B17" s="7" t="inlineStr">
        <is>
          <t>22/07/2026</t>
        </is>
      </c>
      <c r="C17" s="7" t="n">
        <v>30</v>
      </c>
      <c r="D17" s="9" t="inlineStr">
        <is>
          <t>Puja (Foot)</t>
        </is>
      </c>
      <c r="E17" s="7">
        <f>E16+C17</f>
        <v/>
      </c>
      <c r="F17" s="7">
        <f>1200-E17</f>
        <v/>
      </c>
      <c r="G17" s="11">
        <f>E17/1200</f>
        <v/>
      </c>
      <c r="H17" s="7">
        <f>IF(G17&gt;=1, "100.0% (Package Over)", TEXT(MIN(G17*100, 99.9), "0.0") &amp; "%")</f>
        <v/>
      </c>
    </row>
    <row r="18">
      <c r="A18" s="7" t="n">
        <v>14</v>
      </c>
      <c r="B18" s="7" t="inlineStr">
        <is>
          <t>31/07/2026</t>
        </is>
      </c>
      <c r="C18" s="7" t="n">
        <v>45</v>
      </c>
      <c r="D18" s="9" t="inlineStr">
        <is>
          <t>Ankit (Foot)</t>
        </is>
      </c>
      <c r="E18" s="7">
        <f>E17+C18</f>
        <v/>
      </c>
      <c r="F18" s="7">
        <f>1200-E18</f>
        <v/>
      </c>
      <c r="G18" s="11">
        <f>E18/1200</f>
        <v/>
      </c>
      <c r="H18" s="7">
        <f>IF(G18&gt;=1, "100.0% (Package Over)", TEXT(MIN(G18*100, 99.9), "0.0") &amp; "%")</f>
        <v/>
      </c>
    </row>
    <row r="19">
      <c r="A19" s="7" t="n">
        <v>15</v>
      </c>
      <c r="B19" s="7" t="inlineStr">
        <is>
          <t>31/07/2026</t>
        </is>
      </c>
      <c r="C19" s="7" t="n">
        <v>60</v>
      </c>
      <c r="D19" s="9" t="inlineStr">
        <is>
          <t>Ankit (HNSB)</t>
        </is>
      </c>
      <c r="E19" s="7">
        <f>E18+C19</f>
        <v/>
      </c>
      <c r="F19" s="7">
        <f>1200-E19</f>
        <v/>
      </c>
      <c r="G19" s="11">
        <f>E19/1200</f>
        <v/>
      </c>
      <c r="H19" s="7">
        <f>IF(G19&gt;=1, "100.0% (Package Over)", TEXT(MIN(G19*100, 99.9), "0.0") &amp; "%")</f>
        <v/>
      </c>
    </row>
    <row r="20">
      <c r="A20" s="7" t="n">
        <v>16</v>
      </c>
      <c r="B20" s="7" t="inlineStr">
        <is>
          <t>21/08/2026</t>
        </is>
      </c>
      <c r="C20" s="7" t="n">
        <v>60</v>
      </c>
      <c r="D20" s="9" t="inlineStr">
        <is>
          <t>Ankit (Foot)</t>
        </is>
      </c>
      <c r="E20" s="7">
        <f>E19+C20</f>
        <v/>
      </c>
      <c r="F20" s="7">
        <f>1200-E20</f>
        <v/>
      </c>
      <c r="G20" s="11">
        <f>E20/1200</f>
        <v/>
      </c>
      <c r="H20" s="7">
        <f>IF(G20&gt;=1, "100.0% (Package Over)", TEXT(MIN(G20*100, 99.9), "0.0") &amp; "%")</f>
        <v/>
      </c>
    </row>
    <row r="21" ht="15.75" customHeight="1" s="21">
      <c r="A21" s="7" t="n">
        <v>17</v>
      </c>
      <c r="B21" s="7" t="inlineStr">
        <is>
          <t>21/08/2026</t>
        </is>
      </c>
      <c r="C21" s="7" t="n">
        <v>30</v>
      </c>
      <c r="D21" s="9" t="inlineStr">
        <is>
          <t>Ankit (HNSB)</t>
        </is>
      </c>
      <c r="E21" s="7">
        <f>E20+C21</f>
        <v/>
      </c>
      <c r="F21" s="7">
        <f>1200-E21</f>
        <v/>
      </c>
      <c r="G21" s="11">
        <f>E21/1200</f>
        <v/>
      </c>
      <c r="H21" s="7">
        <f>IF(G21&gt;=1, "100.0% (Package Over)", TEXT(MIN(G21*100, 99.9), "0.0") &amp; "%")</f>
        <v/>
      </c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</row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1" min="1" max="1"/>
    <col width="14" customWidth="1" style="21" min="2" max="2"/>
    <col width="22" customWidth="1" style="21" min="3" max="3"/>
    <col width="30" customWidth="1" style="21" min="4" max="4"/>
    <col width="18" customWidth="1" style="21" min="5" max="6"/>
    <col width="20" customWidth="1" style="21" min="7" max="7"/>
    <col width="24" customWidth="1" style="21" min="8" max="8"/>
    <col width="8.710000000000001" customWidth="1" style="21" min="9" max="26"/>
  </cols>
  <sheetData>
    <row r="1">
      <c r="A1" s="1" t="inlineStr">
        <is>
          <t>CLIENT SESSION TRACKER: MRS. KOMAL SINHA (POOJA OFFER)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5" t="inlineStr">
        <is>
          <t>Start Date: 26/09/2025  |  Package Details: Pooja Offer 5k for 6 Sessions (Total Value: 8650)  |  Total Package Capacity: 8650 Mins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8" t="inlineStr">
        <is>
          <t>Session No.</t>
        </is>
      </c>
      <c r="B4" s="8" t="inlineStr">
        <is>
          <t>Session Date</t>
        </is>
      </c>
      <c r="C4" s="8" t="inlineStr">
        <is>
          <t>Duration (Mins/Value)</t>
        </is>
      </c>
      <c r="D4" s="8" t="inlineStr">
        <is>
          <t>Therapist / Details</t>
        </is>
      </c>
      <c r="E4" s="8" t="inlineStr">
        <is>
          <t>Cumulative Usage</t>
        </is>
      </c>
      <c r="F4" s="8" t="inlineStr">
        <is>
          <t>Remaining Balance</t>
        </is>
      </c>
      <c r="G4" s="8" t="inlineStr">
        <is>
          <t>% Package Consumed</t>
        </is>
      </c>
      <c r="H4" s="8" t="inlineStr">
        <is>
          <t>Prob. Package Over Date</t>
        </is>
      </c>
    </row>
    <row r="5">
      <c r="A5" s="7" t="n">
        <v>1</v>
      </c>
      <c r="B5" s="7" t="inlineStr">
        <is>
          <t>26/09/2025</t>
        </is>
      </c>
      <c r="C5" s="7" t="n">
        <v>2200</v>
      </c>
      <c r="D5" s="9" t="inlineStr">
        <is>
          <t>Foot + Pedi Signature (Suparna &amp; Soma)</t>
        </is>
      </c>
      <c r="E5" s="7">
        <f>C5</f>
        <v/>
      </c>
      <c r="F5" s="7">
        <f>8650-E5</f>
        <v/>
      </c>
      <c r="G5" s="11">
        <f>E5/8650</f>
        <v/>
      </c>
      <c r="H5" s="7">
        <f>IF(G5&gt;=1, "100.0% (Package Over)", TEXT(MIN(G5*100, 99.9), "0.0") &amp; "%")</f>
        <v/>
      </c>
    </row>
    <row r="6">
      <c r="A6" s="7" t="n">
        <v>2</v>
      </c>
      <c r="B6" s="7" t="inlineStr">
        <is>
          <t>01/11/2025</t>
        </is>
      </c>
      <c r="C6" s="7" t="n">
        <v>950</v>
      </c>
      <c r="D6" s="9" t="inlineStr">
        <is>
          <t>Soma</t>
        </is>
      </c>
      <c r="E6" s="7">
        <f>E5+C6</f>
        <v/>
      </c>
      <c r="F6" s="7">
        <f>8650-E6</f>
        <v/>
      </c>
      <c r="G6" s="11">
        <f>E6/8650</f>
        <v/>
      </c>
      <c r="H6" s="7">
        <f>IF(G6&gt;=1, "100.0% (Package Over)", TEXT(MIN(G6*100, 99.9), "0.0") &amp; "%")</f>
        <v/>
      </c>
    </row>
    <row r="7">
      <c r="A7" s="7" t="n">
        <v>3</v>
      </c>
      <c r="B7" s="7" t="inlineStr">
        <is>
          <t>01/11/2025</t>
        </is>
      </c>
      <c r="C7" s="7" t="n">
        <v>950</v>
      </c>
      <c r="D7" s="9" t="inlineStr">
        <is>
          <t>Sneha</t>
        </is>
      </c>
      <c r="E7" s="7">
        <f>E6+C7</f>
        <v/>
      </c>
      <c r="F7" s="7">
        <f>8650-E7</f>
        <v/>
      </c>
      <c r="G7" s="11">
        <f>E7/8650</f>
        <v/>
      </c>
      <c r="H7" s="7">
        <f>IF(G7&gt;=1, "100.0% (Package Over)", TEXT(MIN(G7*100, 99.9), "0.0") &amp; "%")</f>
        <v/>
      </c>
    </row>
    <row r="8">
      <c r="A8" s="7" t="n">
        <v>4</v>
      </c>
      <c r="B8" s="7" t="inlineStr">
        <is>
          <t>21/02/2026</t>
        </is>
      </c>
      <c r="C8" s="7" t="n">
        <v>950</v>
      </c>
      <c r="D8" s="9" t="inlineStr">
        <is>
          <t>Daliya</t>
        </is>
      </c>
      <c r="E8" s="7">
        <f>E7+C8</f>
        <v/>
      </c>
      <c r="F8" s="7">
        <f>8650-E8</f>
        <v/>
      </c>
      <c r="G8" s="11">
        <f>E8/8650</f>
        <v/>
      </c>
      <c r="H8" s="7">
        <f>IF(G8&gt;=1, "100.0% (Package Over)", TEXT(MIN(G8*100, 99.9), "0.0") &amp; "%")</f>
        <v/>
      </c>
    </row>
    <row r="9">
      <c r="A9" s="7" t="n">
        <v>5</v>
      </c>
      <c r="B9" s="7" t="inlineStr">
        <is>
          <t>21/02/2026</t>
        </is>
      </c>
      <c r="C9" s="7" t="n">
        <v>950</v>
      </c>
      <c r="D9" s="9" t="inlineStr">
        <is>
          <t>Sneha</t>
        </is>
      </c>
      <c r="E9" s="7">
        <f>E8+C9</f>
        <v/>
      </c>
      <c r="F9" s="7">
        <f>8650-E9</f>
        <v/>
      </c>
      <c r="G9" s="11">
        <f>E9/8650</f>
        <v/>
      </c>
      <c r="H9" s="7">
        <f>IF(G9&gt;=1, "100.0% (Package Over)", TEXT(MIN(G9*100, 99.9), "0.0") &amp; "%")</f>
        <v/>
      </c>
    </row>
    <row r="10">
      <c r="A10" s="7" t="n">
        <v>6</v>
      </c>
      <c r="B10" s="7" t="inlineStr">
        <is>
          <t>21/02/2026</t>
        </is>
      </c>
      <c r="C10" s="7" t="n">
        <v>950</v>
      </c>
      <c r="D10" s="9" t="inlineStr">
        <is>
          <t>Session 6</t>
        </is>
      </c>
      <c r="E10" s="7">
        <f>E9+C10</f>
        <v/>
      </c>
      <c r="F10" s="7">
        <f>8650-E10</f>
        <v/>
      </c>
      <c r="G10" s="11">
        <f>E10/8650</f>
        <v/>
      </c>
      <c r="H10" s="7">
        <f>IF(G10&gt;=1, "100.0% (Package Over)", TEXT(MIN(G10*100, 99.9), "0.0") &amp; "%")</f>
        <v/>
      </c>
    </row>
    <row r="11">
      <c r="A11" s="7" t="n">
        <v>7</v>
      </c>
      <c r="B11" s="7" t="inlineStr">
        <is>
          <t>21/02/2026</t>
        </is>
      </c>
      <c r="C11" s="7" t="n">
        <v>950</v>
      </c>
      <c r="D11" s="9" t="inlineStr">
        <is>
          <t>Session 7</t>
        </is>
      </c>
      <c r="E11" s="7">
        <f>E10+C11</f>
        <v/>
      </c>
      <c r="F11" s="7">
        <f>8650-E11</f>
        <v/>
      </c>
      <c r="G11" s="11">
        <f>E11/8650</f>
        <v/>
      </c>
      <c r="H11" s="7">
        <f>IF(G11&gt;=1, "100.0% (Package Over)", TEXT(MIN(G11*100, 99.9), "0.0") &amp; "%")</f>
        <v/>
      </c>
    </row>
    <row r="12">
      <c r="A12" s="7" t="n">
        <v>8</v>
      </c>
      <c r="B12" s="7" t="inlineStr">
        <is>
          <t>21/02/2026</t>
        </is>
      </c>
      <c r="C12" s="7" t="n">
        <v>750</v>
      </c>
      <c r="D12" s="9" t="inlineStr">
        <is>
          <t>1 Deluxe Manicure (Complimentary)</t>
        </is>
      </c>
      <c r="E12" s="7">
        <f>E11+C12</f>
        <v/>
      </c>
      <c r="F12" s="7">
        <f>8650-E12</f>
        <v/>
      </c>
      <c r="G12" s="11">
        <f>E12/8650</f>
        <v/>
      </c>
      <c r="H12" s="7">
        <f>IF(G12&gt;=1, "100.0% (Package Over)", TEXT(MIN(G12*100, 99.9), "0.0") &amp; "%")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</row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1" min="1" max="1"/>
    <col width="14" customWidth="1" style="21" min="2" max="2"/>
    <col width="22" customWidth="1" style="21" min="3" max="3"/>
    <col width="30" customWidth="1" style="21" min="4" max="4"/>
    <col width="18" customWidth="1" style="21" min="5" max="6"/>
    <col width="20" customWidth="1" style="21" min="7" max="7"/>
    <col width="24" customWidth="1" style="21" min="8" max="8"/>
    <col width="8.710000000000001" customWidth="1" style="21" min="9" max="26"/>
  </cols>
  <sheetData>
    <row r="1">
      <c r="A1" s="1" t="inlineStr">
        <is>
          <t>CLIENT SESSION TRACKER: J. MEHTA (9830111676)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5" t="inlineStr">
        <is>
          <t>Start Date: 08/10/2025  |  Package Details: Paid 10k for 14 hrs (840 Mins) | Phone: 9830111676  |  Total Package Capacity: 840 Mins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8" t="inlineStr">
        <is>
          <t>Session No.</t>
        </is>
      </c>
      <c r="B4" s="8" t="inlineStr">
        <is>
          <t>Session Date</t>
        </is>
      </c>
      <c r="C4" s="8" t="inlineStr">
        <is>
          <t>Duration (Mins/Value)</t>
        </is>
      </c>
      <c r="D4" s="8" t="inlineStr">
        <is>
          <t>Therapist / Details</t>
        </is>
      </c>
      <c r="E4" s="8" t="inlineStr">
        <is>
          <t>Cumulative Usage</t>
        </is>
      </c>
      <c r="F4" s="8" t="inlineStr">
        <is>
          <t>Remaining Balance</t>
        </is>
      </c>
      <c r="G4" s="8" t="inlineStr">
        <is>
          <t>% Package Consumed</t>
        </is>
      </c>
      <c r="H4" s="8" t="inlineStr">
        <is>
          <t>Prob. Package Over Date</t>
        </is>
      </c>
    </row>
    <row r="5">
      <c r="A5" s="7" t="n">
        <v>1</v>
      </c>
      <c r="B5" s="7" t="inlineStr">
        <is>
          <t>08/10/2025</t>
        </is>
      </c>
      <c r="C5" s="7" t="n">
        <v>90</v>
      </c>
      <c r="D5" s="9" t="inlineStr">
        <is>
          <t>Soma</t>
        </is>
      </c>
      <c r="E5" s="7">
        <f>C5</f>
        <v/>
      </c>
      <c r="F5" s="7">
        <f>840-E5</f>
        <v/>
      </c>
      <c r="G5" s="11">
        <f>E5/840</f>
        <v/>
      </c>
      <c r="H5" s="7">
        <f>IF(G5&gt;=1, "100.0% (Package Over)", TEXT(MIN(G5*100, 99.9), "0.0") &amp; "%")</f>
        <v/>
      </c>
    </row>
    <row r="6">
      <c r="A6" s="7" t="n">
        <v>2</v>
      </c>
      <c r="B6" s="7" t="inlineStr">
        <is>
          <t>08/10/2025</t>
        </is>
      </c>
      <c r="C6" s="7" t="n">
        <v>90</v>
      </c>
      <c r="D6" s="9" t="inlineStr">
        <is>
          <t>Ritnika</t>
        </is>
      </c>
      <c r="E6" s="7">
        <f>E5+C6</f>
        <v/>
      </c>
      <c r="F6" s="7">
        <f>840-E6</f>
        <v/>
      </c>
      <c r="G6" s="11">
        <f>E6/840</f>
        <v/>
      </c>
      <c r="H6" s="7">
        <f>IF(G6&gt;=1, "100.0% (Package Over)", TEXT(MIN(G6*100, 99.9), "0.0") &amp; "%")</f>
        <v/>
      </c>
    </row>
    <row r="7">
      <c r="A7" s="7" t="n">
        <v>3</v>
      </c>
      <c r="B7" s="7" t="inlineStr">
        <is>
          <t>25/10/2025</t>
        </is>
      </c>
      <c r="C7" s="7" t="n">
        <v>90</v>
      </c>
      <c r="D7" s="9" t="inlineStr">
        <is>
          <t>Sneha</t>
        </is>
      </c>
      <c r="E7" s="7">
        <f>E6+C7</f>
        <v/>
      </c>
      <c r="F7" s="7">
        <f>840-E7</f>
        <v/>
      </c>
      <c r="G7" s="11">
        <f>E7/840</f>
        <v/>
      </c>
      <c r="H7" s="7">
        <f>IF(G7&gt;=1, "100.0% (Package Over)", TEXT(MIN(G7*100, 99.9), "0.0") &amp; "%")</f>
        <v/>
      </c>
    </row>
    <row r="8">
      <c r="A8" s="7" t="n">
        <v>4</v>
      </c>
      <c r="B8" s="7" t="inlineStr">
        <is>
          <t>09/12/2025</t>
        </is>
      </c>
      <c r="C8" s="7" t="n">
        <v>90</v>
      </c>
      <c r="D8" s="9" t="inlineStr">
        <is>
          <t>Soma</t>
        </is>
      </c>
      <c r="E8" s="7">
        <f>E7+C8</f>
        <v/>
      </c>
      <c r="F8" s="7">
        <f>840-E8</f>
        <v/>
      </c>
      <c r="G8" s="11">
        <f>E8/840</f>
        <v/>
      </c>
      <c r="H8" s="7">
        <f>IF(G8&gt;=1, "100.0% (Package Over)", TEXT(MIN(G8*100, 99.9), "0.0") &amp; "%")</f>
        <v/>
      </c>
    </row>
    <row r="9">
      <c r="A9" s="7" t="n">
        <v>5</v>
      </c>
      <c r="B9" s="7" t="inlineStr">
        <is>
          <t>20/12/2025</t>
        </is>
      </c>
      <c r="C9" s="7" t="n">
        <v>60</v>
      </c>
      <c r="D9" s="9" t="inlineStr">
        <is>
          <t>Shilpa</t>
        </is>
      </c>
      <c r="E9" s="7">
        <f>E8+C9</f>
        <v/>
      </c>
      <c r="F9" s="7">
        <f>840-E9</f>
        <v/>
      </c>
      <c r="G9" s="11">
        <f>E9/840</f>
        <v/>
      </c>
      <c r="H9" s="7">
        <f>IF(G9&gt;=1, "100.0% (Package Over)", TEXT(MIN(G9*100, 99.9), "0.0") &amp; "%")</f>
        <v/>
      </c>
    </row>
    <row r="10">
      <c r="A10" s="7" t="n">
        <v>6</v>
      </c>
      <c r="B10" s="7" t="inlineStr">
        <is>
          <t>06/01/2026</t>
        </is>
      </c>
      <c r="C10" s="7" t="n">
        <v>90</v>
      </c>
      <c r="D10" s="9" t="inlineStr">
        <is>
          <t>Sneha</t>
        </is>
      </c>
      <c r="E10" s="7">
        <f>E9+C10</f>
        <v/>
      </c>
      <c r="F10" s="7">
        <f>840-E10</f>
        <v/>
      </c>
      <c r="G10" s="11">
        <f>E10/840</f>
        <v/>
      </c>
      <c r="H10" s="7">
        <f>IF(G10&gt;=1, "100.0% (Package Over)", TEXT(MIN(G10*100, 99.9), "0.0") &amp; "%")</f>
        <v/>
      </c>
    </row>
    <row r="11">
      <c r="A11" s="7" t="n">
        <v>7</v>
      </c>
      <c r="B11" s="7" t="inlineStr">
        <is>
          <t>06/01/2026</t>
        </is>
      </c>
      <c r="C11" s="7" t="n">
        <v>90</v>
      </c>
      <c r="D11" s="9" t="inlineStr">
        <is>
          <t>Riya</t>
        </is>
      </c>
      <c r="E11" s="7">
        <f>E10+C11</f>
        <v/>
      </c>
      <c r="F11" s="7">
        <f>840-E11</f>
        <v/>
      </c>
      <c r="G11" s="11">
        <f>E11/840</f>
        <v/>
      </c>
      <c r="H11" s="7">
        <f>IF(G11&gt;=1, "100.0% (Package Over)", TEXT(MIN(G11*100, 99.9), "0.0") &amp; "%")</f>
        <v/>
      </c>
    </row>
    <row r="12">
      <c r="A12" s="7" t="n">
        <v>8</v>
      </c>
      <c r="B12" s="7" t="inlineStr">
        <is>
          <t>17/06/2026</t>
        </is>
      </c>
      <c r="C12" s="7" t="n">
        <v>90</v>
      </c>
      <c r="D12" s="9" t="inlineStr">
        <is>
          <t>Ankit (FHNS)</t>
        </is>
      </c>
      <c r="E12" s="7">
        <f>E11+C12</f>
        <v/>
      </c>
      <c r="F12" s="7">
        <f>840-E12</f>
        <v/>
      </c>
      <c r="G12" s="11">
        <f>E12/840</f>
        <v/>
      </c>
      <c r="H12" s="7">
        <f>IF(G12&gt;=1, "100.0% (Package Over)", TEXT(MIN(G12*100, 99.9), "0.0") &amp; "%")</f>
        <v/>
      </c>
    </row>
    <row r="13">
      <c r="A13" s="7" t="n">
        <v>9</v>
      </c>
      <c r="B13" s="7" t="inlineStr">
        <is>
          <t>05/08/2026</t>
        </is>
      </c>
      <c r="C13" s="7" t="n">
        <v>60</v>
      </c>
      <c r="D13" s="9" t="inlineStr">
        <is>
          <t>Ankit (FHNS)</t>
        </is>
      </c>
      <c r="E13" s="7">
        <f>E12+C13</f>
        <v/>
      </c>
      <c r="F13" s="7">
        <f>840-E13</f>
        <v/>
      </c>
      <c r="G13" s="11">
        <f>E13/840</f>
        <v/>
      </c>
      <c r="H13" s="7">
        <f>IF(G13&gt;=1, "100.0% (Package Over)", TEXT(MIN(G13*100, 99.9), "0.0") &amp; "%")</f>
        <v/>
      </c>
    </row>
    <row r="14">
      <c r="A14" s="7" t="n">
        <v>10</v>
      </c>
      <c r="B14" s="7" t="inlineStr">
        <is>
          <t>05/08/2026</t>
        </is>
      </c>
      <c r="C14" s="7" t="n">
        <v>60</v>
      </c>
      <c r="D14" s="9" t="inlineStr">
        <is>
          <t>Mouli (FHNS)</t>
        </is>
      </c>
      <c r="E14" s="7">
        <f>E13+C14</f>
        <v/>
      </c>
      <c r="F14" s="7">
        <f>840-E14</f>
        <v/>
      </c>
      <c r="G14" s="11">
        <f>E14/840</f>
        <v/>
      </c>
      <c r="H14" s="7">
        <f>IF(G14&gt;=1, "100.0% (Package Over)", TEXT(MIN(G14*100, 99.9), "0.0") &amp; "%")</f>
        <v/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</row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1" min="1" max="1"/>
    <col width="14" customWidth="1" style="21" min="2" max="2"/>
    <col width="22" customWidth="1" style="21" min="3" max="3"/>
    <col width="30" customWidth="1" style="21" min="4" max="4"/>
    <col width="18" customWidth="1" style="21" min="5" max="6"/>
    <col width="20" customWidth="1" style="21" min="7" max="7"/>
    <col width="24" customWidth="1" style="21" min="8" max="8"/>
    <col width="8.710000000000001" customWidth="1" style="21" min="9" max="26"/>
  </cols>
  <sheetData>
    <row r="1">
      <c r="A1" s="1" t="inlineStr">
        <is>
          <t>CLIENT SESSION TRACKER: MR. UTPAL CHOWDHURY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5" t="inlineStr">
        <is>
          <t>Start Date: 09/10/2025  |  Package Details: Paid 20k for 25k (Actual Value: 26,900)  |  Total Package Capacity: 26900 Mins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8" t="inlineStr">
        <is>
          <t>Session No.</t>
        </is>
      </c>
      <c r="B4" s="8" t="inlineStr">
        <is>
          <t>Session Date</t>
        </is>
      </c>
      <c r="C4" s="8" t="inlineStr">
        <is>
          <t>Duration (Mins/Value)</t>
        </is>
      </c>
      <c r="D4" s="8" t="inlineStr">
        <is>
          <t>Therapist / Details</t>
        </is>
      </c>
      <c r="E4" s="8" t="inlineStr">
        <is>
          <t>Cumulative Usage</t>
        </is>
      </c>
      <c r="F4" s="8" t="inlineStr">
        <is>
          <t>Remaining Balance</t>
        </is>
      </c>
      <c r="G4" s="8" t="inlineStr">
        <is>
          <t>% Package Consumed</t>
        </is>
      </c>
      <c r="H4" s="8" t="inlineStr">
        <is>
          <t>Prob. Package Over Date</t>
        </is>
      </c>
    </row>
    <row r="5">
      <c r="A5" s="7" t="n">
        <v>1</v>
      </c>
      <c r="B5" s="7" t="inlineStr">
        <is>
          <t>09/10/2025</t>
        </is>
      </c>
      <c r="C5" s="7" t="n">
        <v>950</v>
      </c>
      <c r="D5" s="9" t="inlineStr">
        <is>
          <t>Foot Therapy</t>
        </is>
      </c>
      <c r="E5" s="7">
        <f>C5</f>
        <v/>
      </c>
      <c r="F5" s="7">
        <f>26900-E5</f>
        <v/>
      </c>
      <c r="G5" s="11">
        <f>E5/26900</f>
        <v/>
      </c>
      <c r="H5" s="7">
        <f>IF(G5&gt;=1, "100.0% (Package Over)", TEXT(MIN(G5*100, 99.9), "0.0") &amp; "%")</f>
        <v/>
      </c>
    </row>
    <row r="6">
      <c r="A6" s="7" t="n">
        <v>2</v>
      </c>
      <c r="B6" s="7" t="inlineStr">
        <is>
          <t>26/10/2025</t>
        </is>
      </c>
      <c r="C6" s="7" t="n">
        <v>5350</v>
      </c>
      <c r="D6" s="9" t="inlineStr">
        <is>
          <t>Facial + Pedicure + Manicure (Soma)</t>
        </is>
      </c>
      <c r="E6" s="7">
        <f>E5+C6</f>
        <v/>
      </c>
      <c r="F6" s="7">
        <f>26900-E6</f>
        <v/>
      </c>
      <c r="G6" s="11">
        <f>E6/26900</f>
        <v/>
      </c>
      <c r="H6" s="7">
        <f>IF(G6&gt;=1, "100.0% (Package Over)", TEXT(MIN(G6*100, 99.9), "0.0") &amp; "%")</f>
        <v/>
      </c>
    </row>
    <row r="7">
      <c r="A7" s="7" t="n">
        <v>3</v>
      </c>
      <c r="B7" s="7" t="inlineStr">
        <is>
          <t>26/10/2025</t>
        </is>
      </c>
      <c r="C7" s="7" t="n">
        <v>2400</v>
      </c>
      <c r="D7" s="9" t="inlineStr">
        <is>
          <t>Pedicure + Manicure + Threading</t>
        </is>
      </c>
      <c r="E7" s="7">
        <f>E6+C7</f>
        <v/>
      </c>
      <c r="F7" s="7">
        <f>26900-E7</f>
        <v/>
      </c>
      <c r="G7" s="11">
        <f>E7/26900</f>
        <v/>
      </c>
      <c r="H7" s="7">
        <f>IF(G7&gt;=1, "100.0% (Package Over)", TEXT(MIN(G7*100, 99.9), "0.0") &amp; "%")</f>
        <v/>
      </c>
    </row>
    <row r="8">
      <c r="A8" s="7" t="n">
        <v>4</v>
      </c>
      <c r="B8" s="7" t="inlineStr">
        <is>
          <t>23/11/2025</t>
        </is>
      </c>
      <c r="C8" s="7" t="n">
        <v>5200</v>
      </c>
      <c r="D8" s="9" t="inlineStr">
        <is>
          <t>Pedicure + Facial (Soma)</t>
        </is>
      </c>
      <c r="E8" s="7">
        <f>E7+C8</f>
        <v/>
      </c>
      <c r="F8" s="7">
        <f>26900-E8</f>
        <v/>
      </c>
      <c r="G8" s="11">
        <f>E8/26900</f>
        <v/>
      </c>
      <c r="H8" s="7">
        <f>IF(G8&gt;=1, "100.0% (Package Over)", TEXT(MIN(G8*100, 99.9), "0.0") &amp; "%")</f>
        <v/>
      </c>
    </row>
    <row r="9">
      <c r="A9" s="7" t="n">
        <v>5</v>
      </c>
      <c r="B9" s="7" t="inlineStr">
        <is>
          <t>23/11/2025</t>
        </is>
      </c>
      <c r="C9" s="7" t="n">
        <v>5200</v>
      </c>
      <c r="D9" s="9" t="inlineStr">
        <is>
          <t>Pedicure + Facial (Ritika)</t>
        </is>
      </c>
      <c r="E9" s="7">
        <f>E8+C9</f>
        <v/>
      </c>
      <c r="F9" s="7">
        <f>26900-E9</f>
        <v/>
      </c>
      <c r="G9" s="11">
        <f>E9/26900</f>
        <v/>
      </c>
      <c r="H9" s="7">
        <f>IF(G9&gt;=1, "100.0% (Package Over)", TEXT(MIN(G9*100, 99.9), "0.0") &amp; "%")</f>
        <v/>
      </c>
    </row>
    <row r="10">
      <c r="A10" s="7" t="n">
        <v>6</v>
      </c>
      <c r="B10" s="7" t="inlineStr">
        <is>
          <t>14/12/2025</t>
        </is>
      </c>
      <c r="C10" s="7" t="n">
        <v>5800</v>
      </c>
      <c r="D10" s="9" t="inlineStr">
        <is>
          <t>Pedicure + Facial</t>
        </is>
      </c>
      <c r="E10" s="7">
        <f>E9+C10</f>
        <v/>
      </c>
      <c r="F10" s="7">
        <f>26900-E10</f>
        <v/>
      </c>
      <c r="G10" s="11">
        <f>E10/26900</f>
        <v/>
      </c>
      <c r="H10" s="7">
        <f>IF(G10&gt;=1, "100.0% (Package Over)", TEXT(MIN(G10*100, 99.9), "0.0") &amp; "%")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15.75" customHeight="1" s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15.75" customHeight="1" s="2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.75" customHeight="1" s="2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5.75" customHeight="1" s="2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15.75" customHeight="1" s="2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15.75" customHeight="1" s="2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15.75" customHeight="1" s="2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.75" customHeight="1" s="2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15.75" customHeight="1" s="2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5.75" customHeight="1" s="2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5.75" customHeight="1" s="2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5.75" customHeight="1" s="2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15.75" customHeight="1" s="2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15.75" customHeight="1" s="2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15.75" customHeight="1" s="2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15.75" customHeight="1" s="2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5.75" customHeight="1" s="2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15.75" customHeight="1" s="2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15.75" customHeight="1" s="2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15.75" customHeight="1" s="2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15.75" customHeight="1" s="2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15.75" customHeight="1" s="2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15.75" customHeight="1" s="2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15.75" customHeight="1" s="2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15.75" customHeight="1" s="2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5.75" customHeight="1" s="2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15.75" customHeight="1" s="2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15.75" customHeight="1" s="2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15.75" customHeight="1" s="2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5.75" customHeight="1" s="2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15.75" customHeight="1" s="2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15.75" customHeight="1" s="2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15.75" customHeight="1" s="2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15.75" customHeight="1" s="2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15.75" customHeight="1" s="2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5.75" customHeight="1" s="2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15.75" customHeight="1" s="2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15.75" customHeight="1" s="2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15.75" customHeight="1" s="2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5.75" customHeight="1" s="2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15.75" customHeight="1" s="2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15.75" customHeight="1" s="2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15.75" customHeight="1" s="2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15.75" customHeight="1" s="2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15.75" customHeight="1" s="2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15.75" customHeight="1" s="2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15.75" customHeight="1" s="2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15.75" customHeight="1" s="2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15.75" customHeight="1" s="2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15.75" customHeight="1" s="2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15.75" customHeight="1" s="2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5.75" customHeight="1" s="2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15.75" customHeight="1" s="2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5.75" customHeight="1" s="2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15.75" customHeight="1" s="2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5.75" customHeight="1" s="2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15.75" customHeight="1" s="2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15.75" customHeight="1" s="2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15.75" customHeight="1" s="2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15.75" customHeight="1" s="2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15.75" customHeight="1" s="2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15.75" customHeight="1" s="2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15.75" customHeight="1" s="2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15.75" customHeight="1" s="2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15.75" customHeight="1" s="2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15.75" customHeight="1" s="2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15.75" customHeight="1" s="2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15.75" customHeight="1" s="2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15.75" customHeight="1" s="2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15.75" customHeight="1" s="2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15.75" customHeight="1" s="2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15.75" customHeight="1" s="2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15.75" customHeight="1" s="2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15.75" customHeight="1" s="2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15.75" customHeight="1" s="2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5.75" customHeight="1" s="2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15.75" customHeight="1" s="2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5.75" customHeight="1" s="2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15.75" customHeight="1" s="2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15.75" customHeight="1" s="2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15.75" customHeight="1" s="2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15.75" customHeight="1" s="21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15.75" customHeight="1" s="2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15.75" customHeight="1" s="2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15.75" customHeight="1" s="2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15.75" customHeight="1" s="2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15.75" customHeight="1" s="2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15.75" customHeight="1" s="2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15.75" customHeight="1" s="21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15.75" customHeight="1" s="21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15.75" customHeight="1" s="2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15.75" customHeight="1" s="2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15.75" customHeight="1" s="21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15.75" customHeight="1" s="2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15.75" customHeight="1" s="2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15.75" customHeight="1" s="2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15.75" customHeight="1" s="2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5.75" customHeight="1" s="21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15.75" customHeight="1" s="2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5.75" customHeight="1" s="2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15.75" customHeight="1" s="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5.75" customHeight="1" s="21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15.75" customHeight="1" s="2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5.75" customHeight="1" s="2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15.75" customHeight="1" s="21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15.75" customHeight="1" s="21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15.75" customHeight="1" s="2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15.75" customHeight="1" s="2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15.75" customHeight="1" s="21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15.75" customHeight="1" s="21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15.75" customHeight="1" s="2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5.75" customHeight="1" s="2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15.75" customHeight="1" s="2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15.75" customHeight="1" s="21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15.75" customHeight="1" s="2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15.75" customHeight="1" s="2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15.75" customHeight="1" s="21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15.75" customHeight="1" s="21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15.75" customHeight="1" s="2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15.75" customHeight="1" s="2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15.75" customHeight="1" s="2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15.75" customHeight="1" s="21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15.75" customHeight="1" s="2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15.75" customHeight="1" s="2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15.75" customHeight="1" s="21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15.75" customHeight="1" s="2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5.75" customHeight="1" s="2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15.75" customHeight="1" s="2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5.75" customHeight="1" s="2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5.75" customHeight="1" s="2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5.75" customHeight="1" s="2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5.75" customHeight="1" s="2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15.75" customHeight="1" s="2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5.75" customHeight="1" s="21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15.75" customHeight="1" s="2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5.75" customHeight="1" s="2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15.75" customHeight="1" s="21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15.75" customHeight="1" s="21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15.75" customHeight="1" s="2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15.75" customHeight="1" s="2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5.75" customHeight="1" s="2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15.75" customHeight="1" s="2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5.75" customHeight="1" s="2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5.75" customHeight="1" s="2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5.75" customHeight="1" s="21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15.75" customHeight="1" s="2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5.75" customHeight="1" s="2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15.75" customHeight="1" s="2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15.75" customHeight="1" s="21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15.75" customHeight="1" s="21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15.75" customHeight="1" s="2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15.75" customHeight="1" s="2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15.75" customHeight="1" s="2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5.75" customHeight="1" s="21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15.75" customHeight="1" s="2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15.75" customHeight="1" s="2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5.75" customHeight="1" s="21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15.75" customHeight="1" s="2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5.75" customHeight="1" s="2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15.75" customHeight="1" s="2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5.75" customHeight="1" s="2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15.75" customHeight="1" s="2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5.75" customHeight="1" s="2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15.75" customHeight="1" s="2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15.75" customHeight="1" s="21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15.75" customHeight="1" s="21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15.75" customHeight="1" s="2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15.75" customHeight="1" s="2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15.75" customHeight="1" s="2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5.75" customHeight="1" s="2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5.75" customHeight="1" s="2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15.75" customHeight="1" s="2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5.75" customHeight="1" s="21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15.75" customHeight="1" s="2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5.75" customHeight="1" s="2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15.75" customHeight="1" s="2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15.75" customHeight="1" s="21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15.75" customHeight="1" s="21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15.75" customHeight="1" s="2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15.75" customHeight="1" s="2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15.75" customHeight="1" s="2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15.75" customHeight="1" s="21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15.75" customHeight="1" s="21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15.75" customHeight="1" s="21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15.75" customHeight="1" s="21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15.75" customHeight="1" s="21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15.75" customHeight="1" s="21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15.75" customHeight="1" s="21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15.75" customHeight="1" s="21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15.75" customHeight="1" s="21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15.75" customHeight="1" s="2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15.75" customHeight="1" s="21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15.75" customHeight="1" s="21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15.75" customHeight="1" s="21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15.75" customHeight="1" s="21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15.75" customHeight="1" s="21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15.75" customHeight="1" s="21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15.75" customHeight="1" s="21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15.75" customHeight="1" s="21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15.75" customHeight="1" s="21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15.75" customHeight="1" s="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15.75" customHeight="1" s="21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15.75" customHeight="1" s="21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15.75" customHeight="1" s="21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15.75" customHeight="1" s="21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15.75" customHeight="1" s="21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15.75" customHeight="1" s="21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15.75" customHeight="1" s="21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15.75" customHeight="1" s="21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15.75" customHeight="1" s="21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15.75" customHeight="1" s="2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15.75" customHeight="1" s="21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15.75" customHeight="1" s="21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15.75" customHeight="1" s="21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15.75" customHeight="1" s="21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15.75" customHeight="1" s="21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15.75" customHeight="1" s="21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15.75" customHeight="1" s="21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15.75" customHeight="1" s="21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 ht="15.75" customHeight="1" s="21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 ht="15.75" customHeight="1" s="2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 ht="15.75" customHeight="1" s="21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15.75" customHeight="1" s="21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15.75" customHeight="1" s="2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15.75" customHeight="1" s="21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15.75" customHeight="1" s="2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15.75" customHeight="1" s="21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15.75" customHeight="1" s="2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15.75" customHeight="1" s="21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 ht="15.75" customHeight="1" s="21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 ht="15.75" customHeight="1" s="2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 ht="15.75" customHeight="1" s="21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15.75" customHeight="1" s="21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 ht="15.75" customHeight="1" s="21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15.75" customHeight="1" s="21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15.75" customHeight="1" s="21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 ht="15.75" customHeight="1" s="21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 ht="15.75" customHeight="1" s="21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15.75" customHeight="1" s="21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 ht="15.75" customHeight="1" s="21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15.75" customHeight="1" s="2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 ht="15.75" customHeight="1" s="21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15.75" customHeight="1" s="21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 ht="15.75" customHeight="1" s="21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 ht="15.75" customHeight="1" s="21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 ht="15.75" customHeight="1" s="21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15.75" customHeight="1" s="21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15.75" customHeight="1" s="21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15.75" customHeight="1" s="21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15.75" customHeight="1" s="21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15.75" customHeight="1" s="2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15.75" customHeight="1" s="21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 ht="15.75" customHeight="1" s="21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 ht="15.75" customHeight="1" s="21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 ht="15.75" customHeight="1" s="21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15.75" customHeight="1" s="21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15.75" customHeight="1" s="21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15.75" customHeight="1" s="21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15.75" customHeight="1" s="21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15.75" customHeight="1" s="21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15.75" customHeight="1" s="2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15.75" customHeight="1" s="21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 ht="15.75" customHeight="1" s="21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15.75" customHeight="1" s="21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15.75" customHeight="1" s="21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15.75" customHeight="1" s="21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 ht="15.75" customHeight="1" s="21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 ht="15.75" customHeight="1" s="21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 ht="15.75" customHeight="1" s="21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 ht="15.75" customHeight="1" s="21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 ht="15.75" customHeight="1" s="2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 ht="15.75" customHeight="1" s="21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 ht="15.75" customHeight="1" s="21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15.75" customHeight="1" s="21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 ht="15.75" customHeight="1" s="21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15.75" customHeight="1" s="21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15.75" customHeight="1" s="21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15.75" customHeight="1" s="21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15.75" customHeight="1" s="21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15.75" customHeight="1" s="21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15.75" customHeight="1" s="2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 ht="15.75" customHeight="1" s="21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15.75" customHeight="1" s="21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 ht="15.75" customHeight="1" s="21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 ht="15.75" customHeight="1" s="21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 ht="15.75" customHeight="1" s="21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15.75" customHeight="1" s="21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 ht="15.75" customHeight="1" s="21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 ht="15.75" customHeight="1" s="21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15.75" customHeight="1" s="21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 ht="15.75" customHeight="1" s="2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 ht="15.75" customHeight="1" s="21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 ht="15.75" customHeight="1" s="21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 ht="15.75" customHeight="1" s="21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 ht="15.75" customHeight="1" s="21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 ht="15.75" customHeight="1" s="21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 ht="15.75" customHeight="1" s="21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 ht="15.75" customHeight="1" s="21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 ht="15.75" customHeight="1" s="21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15.75" customHeight="1" s="21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15.75" customHeight="1" s="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15.75" customHeight="1" s="21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15.75" customHeight="1" s="2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15.75" customHeight="1" s="21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15.75" customHeight="1" s="21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15.75" customHeight="1" s="21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15.75" customHeight="1" s="21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15.75" customHeight="1" s="21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 ht="15.75" customHeight="1" s="21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15.75" customHeight="1" s="21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 ht="15.75" customHeight="1" s="2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15.75" customHeight="1" s="21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 ht="15.75" customHeight="1" s="21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 ht="15.75" customHeight="1" s="21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 ht="15.75" customHeight="1" s="21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 ht="15.75" customHeight="1" s="21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15.75" customHeight="1" s="21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15.75" customHeight="1" s="21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 ht="15.75" customHeight="1" s="21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 ht="15.75" customHeight="1" s="21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 ht="15.75" customHeight="1" s="2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 ht="15.75" customHeight="1" s="21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15.75" customHeight="1" s="21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 ht="15.75" customHeight="1" s="21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15.75" customHeight="1" s="21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 ht="15.75" customHeight="1" s="21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15.75" customHeight="1" s="21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 ht="15.75" customHeight="1" s="2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15.75" customHeight="1" s="21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 ht="15.75" customHeight="1" s="21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15.75" customHeight="1" s="2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 ht="15.75" customHeight="1" s="21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15.75" customHeight="1" s="21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 ht="15.75" customHeight="1" s="21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15.75" customHeight="1" s="21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15.75" customHeight="1" s="21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 ht="15.75" customHeight="1" s="21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15.75" customHeight="1" s="21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 ht="15.75" customHeight="1" s="21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 ht="15.75" customHeight="1" s="21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 ht="15.75" customHeight="1" s="2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 ht="15.75" customHeight="1" s="21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 ht="15.75" customHeight="1" s="21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 ht="15.75" customHeight="1" s="21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 ht="15.75" customHeight="1" s="21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 ht="15.75" customHeight="1" s="21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 ht="15.75" customHeight="1" s="21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 ht="15.75" customHeight="1" s="21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 ht="15.75" customHeight="1" s="21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 ht="15.75" customHeight="1" s="21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 ht="15.75" customHeight="1" s="2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 ht="15.75" customHeight="1" s="21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 ht="15.75" customHeight="1" s="21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15.75" customHeight="1" s="21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 ht="15.75" customHeight="1" s="21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15.75" customHeight="1" s="21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 ht="15.75" customHeight="1" s="21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 ht="15.75" customHeight="1" s="21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 ht="15.75" customHeight="1" s="21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 ht="15.75" customHeight="1" s="21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 ht="15.75" customHeight="1" s="2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15.75" customHeight="1" s="21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 ht="15.75" customHeight="1" s="21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15.75" customHeight="1" s="21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 ht="15.75" customHeight="1" s="21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15.75" customHeight="1" s="21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 ht="15.75" customHeight="1" s="21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15.75" customHeight="1" s="21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 ht="15.75" customHeight="1" s="21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 ht="15.75" customHeight="1" s="21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 ht="15.75" customHeight="1" s="2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 ht="15.75" customHeight="1" s="21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 ht="15.75" customHeight="1" s="21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 ht="15.75" customHeight="1" s="21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 ht="15.75" customHeight="1" s="21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 ht="15.75" customHeight="1" s="21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15.75" customHeight="1" s="21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 ht="15.75" customHeight="1" s="21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 ht="15.75" customHeight="1" s="21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15.75" customHeight="1" s="21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 ht="15.75" customHeight="1" s="2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15.75" customHeight="1" s="21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 ht="15.75" customHeight="1" s="21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15.75" customHeight="1" s="21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 ht="15.75" customHeight="1" s="21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15.75" customHeight="1" s="21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 ht="15.75" customHeight="1" s="21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 ht="15.75" customHeight="1" s="21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 ht="15.75" customHeight="1" s="21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 ht="15.75" customHeight="1" s="21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 ht="15.75" customHeight="1" s="2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 ht="15.75" customHeight="1" s="21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 ht="15.75" customHeight="1" s="21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 ht="15.75" customHeight="1" s="21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 ht="15.75" customHeight="1" s="21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 ht="15.75" customHeight="1" s="21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 ht="15.75" customHeight="1" s="21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 ht="15.75" customHeight="1" s="21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 ht="15.75" customHeight="1" s="21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 ht="15.75" customHeight="1" s="21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 ht="15.75" customHeight="1" s="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 ht="15.75" customHeight="1" s="21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 ht="15.75" customHeight="1" s="21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 ht="15.75" customHeight="1" s="21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15.75" customHeight="1" s="21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 ht="15.75" customHeight="1" s="21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 ht="15.75" customHeight="1" s="21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 ht="15.75" customHeight="1" s="21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 ht="15.75" customHeight="1" s="21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 ht="15.75" customHeight="1" s="21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 ht="15.75" customHeight="1" s="2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 ht="15.75" customHeight="1" s="21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 ht="15.75" customHeight="1" s="21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 ht="15.75" customHeight="1" s="21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 ht="15.75" customHeight="1" s="21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 ht="15.75" customHeight="1" s="21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 ht="15.75" customHeight="1" s="21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 ht="15.75" customHeight="1" s="21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 ht="15.75" customHeight="1" s="21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 ht="15.75" customHeight="1" s="21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 ht="15.75" customHeight="1" s="2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 ht="15.75" customHeight="1" s="21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 ht="15.75" customHeight="1" s="21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 ht="15.75" customHeight="1" s="21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 ht="15.75" customHeight="1" s="21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 ht="15.75" customHeight="1" s="21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 ht="15.75" customHeight="1" s="21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 ht="15.75" customHeight="1" s="21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 ht="15.75" customHeight="1" s="21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 ht="15.75" customHeight="1" s="21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 ht="15.75" customHeight="1" s="2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 ht="15.75" customHeight="1" s="21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 ht="15.75" customHeight="1" s="21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 ht="15.75" customHeight="1" s="21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 ht="15.75" customHeight="1" s="21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 ht="15.75" customHeight="1" s="21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 ht="15.75" customHeight="1" s="21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 ht="15.75" customHeight="1" s="21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 ht="15.75" customHeight="1" s="21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 ht="15.75" customHeight="1" s="21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 ht="15.75" customHeight="1" s="2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 ht="15.75" customHeight="1" s="21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 ht="15.75" customHeight="1" s="21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 ht="15.75" customHeight="1" s="21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 ht="15.75" customHeight="1" s="21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 ht="15.75" customHeight="1" s="21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 ht="15.75" customHeight="1" s="21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 ht="15.75" customHeight="1" s="21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 ht="15.75" customHeight="1" s="21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 ht="15.75" customHeight="1" s="21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 ht="15.75" customHeight="1" s="2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 ht="15.75" customHeight="1" s="21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 ht="15.75" customHeight="1" s="21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 ht="15.75" customHeight="1" s="21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15.75" customHeight="1" s="21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 ht="15.75" customHeight="1" s="21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15.75" customHeight="1" s="21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 ht="15.75" customHeight="1" s="21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15.75" customHeight="1" s="21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 ht="15.75" customHeight="1" s="21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15.75" customHeight="1" s="2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 ht="15.75" customHeight="1" s="21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 ht="15.75" customHeight="1" s="21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 ht="15.75" customHeight="1" s="21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 ht="15.75" customHeight="1" s="21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 ht="15.75" customHeight="1" s="21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 ht="15.75" customHeight="1" s="21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 ht="15.75" customHeight="1" s="21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 ht="15.75" customHeight="1" s="21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 ht="15.75" customHeight="1" s="21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 ht="15.75" customHeight="1" s="2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 ht="15.75" customHeight="1" s="21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 ht="15.75" customHeight="1" s="21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 ht="15.75" customHeight="1" s="21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 ht="15.75" customHeight="1" s="21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 ht="15.75" customHeight="1" s="2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15.75" customHeight="1" s="21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 ht="15.75" customHeight="1" s="21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15.75" customHeight="1" s="21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 ht="15.75" customHeight="1" s="21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15.75" customHeight="1" s="21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 ht="15.75" customHeight="1" s="21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 ht="15.75" customHeight="1" s="21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 ht="15.75" customHeight="1" s="21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 ht="15.75" customHeight="1" s="21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 ht="15.75" customHeight="1" s="21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 ht="15.75" customHeight="1" s="21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 ht="15.75" customHeight="1" s="21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 ht="15.75" customHeight="1" s="21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 ht="15.75" customHeight="1" s="21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 ht="15.75" customHeight="1" s="21">
      <c r="A511" s="3" t="n"/>
      <c r="B511" s="3" t="n"/>
      <c r="C511" s="3" t="n"/>
      <c r="D511" s="3" t="n"/>
      <c r="E511" s="3" t="n"/>
      <c r="F511" s="3" t="n"/>
      <c r="G511" s="3" t="n"/>
      <c r="H511" s="3" t="n"/>
    </row>
    <row r="512" ht="15.75" customHeight="1" s="21">
      <c r="A512" s="3" t="n"/>
      <c r="B512" s="3" t="n"/>
      <c r="C512" s="3" t="n"/>
      <c r="D512" s="3" t="n"/>
      <c r="E512" s="3" t="n"/>
      <c r="F512" s="3" t="n"/>
      <c r="G512" s="3" t="n"/>
      <c r="H512" s="3" t="n"/>
    </row>
    <row r="513" ht="15.75" customHeight="1" s="21">
      <c r="A513" s="3" t="n"/>
      <c r="B513" s="3" t="n"/>
      <c r="C513" s="3" t="n"/>
      <c r="D513" s="3" t="n"/>
      <c r="E513" s="3" t="n"/>
      <c r="F513" s="3" t="n"/>
      <c r="G513" s="3" t="n"/>
      <c r="H513" s="3" t="n"/>
    </row>
    <row r="514" ht="15.75" customHeight="1" s="21">
      <c r="A514" s="3" t="n"/>
      <c r="B514" s="3" t="n"/>
      <c r="C514" s="3" t="n"/>
      <c r="D514" s="3" t="n"/>
      <c r="E514" s="3" t="n"/>
      <c r="F514" s="3" t="n"/>
      <c r="G514" s="3" t="n"/>
      <c r="H514" s="3" t="n"/>
    </row>
    <row r="515" ht="15.75" customHeight="1" s="21">
      <c r="A515" s="3" t="n"/>
      <c r="B515" s="3" t="n"/>
      <c r="C515" s="3" t="n"/>
      <c r="D515" s="3" t="n"/>
      <c r="E515" s="3" t="n"/>
      <c r="F515" s="3" t="n"/>
      <c r="G515" s="3" t="n"/>
      <c r="H515" s="3" t="n"/>
    </row>
    <row r="516" ht="15.75" customHeight="1" s="21">
      <c r="A516" s="3" t="n"/>
      <c r="B516" s="3" t="n"/>
      <c r="C516" s="3" t="n"/>
      <c r="D516" s="3" t="n"/>
      <c r="E516" s="3" t="n"/>
      <c r="F516" s="3" t="n"/>
      <c r="G516" s="3" t="n"/>
      <c r="H516" s="3" t="n"/>
    </row>
    <row r="517" ht="15.75" customHeight="1" s="21">
      <c r="A517" s="3" t="n"/>
      <c r="B517" s="3" t="n"/>
      <c r="C517" s="3" t="n"/>
      <c r="D517" s="3" t="n"/>
      <c r="E517" s="3" t="n"/>
      <c r="F517" s="3" t="n"/>
      <c r="G517" s="3" t="n"/>
      <c r="H517" s="3" t="n"/>
    </row>
    <row r="518" ht="15.75" customHeight="1" s="21">
      <c r="A518" s="3" t="n"/>
      <c r="B518" s="3" t="n"/>
      <c r="C518" s="3" t="n"/>
      <c r="D518" s="3" t="n"/>
      <c r="E518" s="3" t="n"/>
      <c r="F518" s="3" t="n"/>
      <c r="G518" s="3" t="n"/>
      <c r="H518" s="3" t="n"/>
    </row>
    <row r="519" ht="15.75" customHeight="1" s="21">
      <c r="A519" s="3" t="n"/>
      <c r="B519" s="3" t="n"/>
      <c r="C519" s="3" t="n"/>
      <c r="D519" s="3" t="n"/>
      <c r="E519" s="3" t="n"/>
      <c r="F519" s="3" t="n"/>
      <c r="G519" s="3" t="n"/>
      <c r="H519" s="3" t="n"/>
    </row>
    <row r="520" ht="15.75" customHeight="1" s="21">
      <c r="A520" s="3" t="n"/>
      <c r="B520" s="3" t="n"/>
      <c r="C520" s="3" t="n"/>
      <c r="D520" s="3" t="n"/>
      <c r="E520" s="3" t="n"/>
      <c r="F520" s="3" t="n"/>
      <c r="G520" s="3" t="n"/>
      <c r="H520" s="3" t="n"/>
    </row>
    <row r="521" ht="15.75" customHeight="1" s="21">
      <c r="A521" s="3" t="n"/>
      <c r="B521" s="3" t="n"/>
      <c r="C521" s="3" t="n"/>
      <c r="D521" s="3" t="n"/>
      <c r="E521" s="3" t="n"/>
      <c r="F521" s="3" t="n"/>
      <c r="G521" s="3" t="n"/>
      <c r="H521" s="3" t="n"/>
    </row>
    <row r="522" ht="15.75" customHeight="1" s="21">
      <c r="A522" s="3" t="n"/>
      <c r="B522" s="3" t="n"/>
      <c r="C522" s="3" t="n"/>
      <c r="D522" s="3" t="n"/>
      <c r="E522" s="3" t="n"/>
      <c r="F522" s="3" t="n"/>
      <c r="G522" s="3" t="n"/>
      <c r="H522" s="3" t="n"/>
    </row>
    <row r="523" ht="15.75" customHeight="1" s="21">
      <c r="A523" s="3" t="n"/>
      <c r="B523" s="3" t="n"/>
      <c r="C523" s="3" t="n"/>
      <c r="D523" s="3" t="n"/>
      <c r="E523" s="3" t="n"/>
      <c r="F523" s="3" t="n"/>
      <c r="G523" s="3" t="n"/>
      <c r="H523" s="3" t="n"/>
    </row>
    <row r="524" ht="15.75" customHeight="1" s="21">
      <c r="A524" s="3" t="n"/>
      <c r="B524" s="3" t="n"/>
      <c r="C524" s="3" t="n"/>
      <c r="D524" s="3" t="n"/>
      <c r="E524" s="3" t="n"/>
      <c r="F524" s="3" t="n"/>
      <c r="G524" s="3" t="n"/>
      <c r="H524" s="3" t="n"/>
    </row>
    <row r="525" ht="15.75" customHeight="1" s="21">
      <c r="A525" s="3" t="n"/>
      <c r="B525" s="3" t="n"/>
      <c r="C525" s="3" t="n"/>
      <c r="D525" s="3" t="n"/>
      <c r="E525" s="3" t="n"/>
      <c r="F525" s="3" t="n"/>
      <c r="G525" s="3" t="n"/>
      <c r="H525" s="3" t="n"/>
    </row>
    <row r="526" ht="15.75" customHeight="1" s="21">
      <c r="A526" s="3" t="n"/>
      <c r="B526" s="3" t="n"/>
      <c r="C526" s="3" t="n"/>
      <c r="D526" s="3" t="n"/>
      <c r="E526" s="3" t="n"/>
      <c r="F526" s="3" t="n"/>
      <c r="G526" s="3" t="n"/>
      <c r="H526" s="3" t="n"/>
    </row>
    <row r="527" ht="15.75" customHeight="1" s="21">
      <c r="A527" s="3" t="n"/>
      <c r="B527" s="3" t="n"/>
      <c r="C527" s="3" t="n"/>
      <c r="D527" s="3" t="n"/>
      <c r="E527" s="3" t="n"/>
      <c r="F527" s="3" t="n"/>
      <c r="G527" s="3" t="n"/>
      <c r="H527" s="3" t="n"/>
    </row>
    <row r="528" ht="15.75" customHeight="1" s="21">
      <c r="A528" s="3" t="n"/>
      <c r="B528" s="3" t="n"/>
      <c r="C528" s="3" t="n"/>
      <c r="D528" s="3" t="n"/>
      <c r="E528" s="3" t="n"/>
      <c r="F528" s="3" t="n"/>
      <c r="G528" s="3" t="n"/>
      <c r="H528" s="3" t="n"/>
    </row>
    <row r="529" ht="15.75" customHeight="1" s="21">
      <c r="A529" s="3" t="n"/>
      <c r="B529" s="3" t="n"/>
      <c r="C529" s="3" t="n"/>
      <c r="D529" s="3" t="n"/>
      <c r="E529" s="3" t="n"/>
      <c r="F529" s="3" t="n"/>
      <c r="G529" s="3" t="n"/>
      <c r="H529" s="3" t="n"/>
    </row>
    <row r="530" ht="15.75" customHeight="1" s="21">
      <c r="A530" s="3" t="n"/>
      <c r="B530" s="3" t="n"/>
      <c r="C530" s="3" t="n"/>
      <c r="D530" s="3" t="n"/>
      <c r="E530" s="3" t="n"/>
      <c r="F530" s="3" t="n"/>
      <c r="G530" s="3" t="n"/>
      <c r="H530" s="3" t="n"/>
    </row>
    <row r="531" ht="15.75" customHeight="1" s="21">
      <c r="A531" s="3" t="n"/>
      <c r="B531" s="3" t="n"/>
      <c r="C531" s="3" t="n"/>
      <c r="D531" s="3" t="n"/>
      <c r="E531" s="3" t="n"/>
      <c r="F531" s="3" t="n"/>
      <c r="G531" s="3" t="n"/>
      <c r="H531" s="3" t="n"/>
    </row>
    <row r="532" ht="15.75" customHeight="1" s="21">
      <c r="A532" s="3" t="n"/>
      <c r="B532" s="3" t="n"/>
      <c r="C532" s="3" t="n"/>
      <c r="D532" s="3" t="n"/>
      <c r="E532" s="3" t="n"/>
      <c r="F532" s="3" t="n"/>
      <c r="G532" s="3" t="n"/>
      <c r="H532" s="3" t="n"/>
    </row>
    <row r="533" ht="15.75" customHeight="1" s="21">
      <c r="A533" s="3" t="n"/>
      <c r="B533" s="3" t="n"/>
      <c r="C533" s="3" t="n"/>
      <c r="D533" s="3" t="n"/>
      <c r="E533" s="3" t="n"/>
      <c r="F533" s="3" t="n"/>
      <c r="G533" s="3" t="n"/>
      <c r="H533" s="3" t="n"/>
    </row>
    <row r="534" ht="15.75" customHeight="1" s="21">
      <c r="A534" s="3" t="n"/>
      <c r="B534" s="3" t="n"/>
      <c r="C534" s="3" t="n"/>
      <c r="D534" s="3" t="n"/>
      <c r="E534" s="3" t="n"/>
      <c r="F534" s="3" t="n"/>
      <c r="G534" s="3" t="n"/>
      <c r="H534" s="3" t="n"/>
    </row>
    <row r="535" ht="15.75" customHeight="1" s="21">
      <c r="A535" s="3" t="n"/>
      <c r="B535" s="3" t="n"/>
      <c r="C535" s="3" t="n"/>
      <c r="D535" s="3" t="n"/>
      <c r="E535" s="3" t="n"/>
      <c r="F535" s="3" t="n"/>
      <c r="G535" s="3" t="n"/>
      <c r="H535" s="3" t="n"/>
    </row>
    <row r="536" ht="15.75" customHeight="1" s="21">
      <c r="A536" s="3" t="n"/>
      <c r="B536" s="3" t="n"/>
      <c r="C536" s="3" t="n"/>
      <c r="D536" s="3" t="n"/>
      <c r="E536" s="3" t="n"/>
      <c r="F536" s="3" t="n"/>
      <c r="G536" s="3" t="n"/>
      <c r="H536" s="3" t="n"/>
    </row>
    <row r="537" ht="15.75" customHeight="1" s="21">
      <c r="A537" s="3" t="n"/>
      <c r="B537" s="3" t="n"/>
      <c r="C537" s="3" t="n"/>
      <c r="D537" s="3" t="n"/>
      <c r="E537" s="3" t="n"/>
      <c r="F537" s="3" t="n"/>
      <c r="G537" s="3" t="n"/>
      <c r="H537" s="3" t="n"/>
    </row>
    <row r="538" ht="15.75" customHeight="1" s="21">
      <c r="A538" s="3" t="n"/>
      <c r="B538" s="3" t="n"/>
      <c r="C538" s="3" t="n"/>
      <c r="D538" s="3" t="n"/>
      <c r="E538" s="3" t="n"/>
      <c r="F538" s="3" t="n"/>
      <c r="G538" s="3" t="n"/>
      <c r="H538" s="3" t="n"/>
    </row>
    <row r="539" ht="15.75" customHeight="1" s="21">
      <c r="A539" s="3" t="n"/>
      <c r="B539" s="3" t="n"/>
      <c r="C539" s="3" t="n"/>
      <c r="D539" s="3" t="n"/>
      <c r="E539" s="3" t="n"/>
      <c r="F539" s="3" t="n"/>
      <c r="G539" s="3" t="n"/>
      <c r="H539" s="3" t="n"/>
    </row>
    <row r="540" ht="15.75" customHeight="1" s="21">
      <c r="A540" s="3" t="n"/>
      <c r="B540" s="3" t="n"/>
      <c r="C540" s="3" t="n"/>
      <c r="D540" s="3" t="n"/>
      <c r="E540" s="3" t="n"/>
      <c r="F540" s="3" t="n"/>
      <c r="G540" s="3" t="n"/>
      <c r="H540" s="3" t="n"/>
    </row>
    <row r="541" ht="15.75" customHeight="1" s="21">
      <c r="A541" s="3" t="n"/>
      <c r="B541" s="3" t="n"/>
      <c r="C541" s="3" t="n"/>
      <c r="D541" s="3" t="n"/>
      <c r="E541" s="3" t="n"/>
      <c r="F541" s="3" t="n"/>
      <c r="G541" s="3" t="n"/>
      <c r="H541" s="3" t="n"/>
    </row>
    <row r="542" ht="15.75" customHeight="1" s="21">
      <c r="A542" s="3" t="n"/>
      <c r="B542" s="3" t="n"/>
      <c r="C542" s="3" t="n"/>
      <c r="D542" s="3" t="n"/>
      <c r="E542" s="3" t="n"/>
      <c r="F542" s="3" t="n"/>
      <c r="G542" s="3" t="n"/>
      <c r="H542" s="3" t="n"/>
    </row>
    <row r="543" ht="15.75" customHeight="1" s="21">
      <c r="A543" s="3" t="n"/>
      <c r="B543" s="3" t="n"/>
      <c r="C543" s="3" t="n"/>
      <c r="D543" s="3" t="n"/>
      <c r="E543" s="3" t="n"/>
      <c r="F543" s="3" t="n"/>
      <c r="G543" s="3" t="n"/>
      <c r="H543" s="3" t="n"/>
    </row>
    <row r="544" ht="15.75" customHeight="1" s="21">
      <c r="A544" s="3" t="n"/>
      <c r="B544" s="3" t="n"/>
      <c r="C544" s="3" t="n"/>
      <c r="D544" s="3" t="n"/>
      <c r="E544" s="3" t="n"/>
      <c r="F544" s="3" t="n"/>
      <c r="G544" s="3" t="n"/>
      <c r="H544" s="3" t="n"/>
    </row>
    <row r="545" ht="15.75" customHeight="1" s="21">
      <c r="A545" s="3" t="n"/>
      <c r="B545" s="3" t="n"/>
      <c r="C545" s="3" t="n"/>
      <c r="D545" s="3" t="n"/>
      <c r="E545" s="3" t="n"/>
      <c r="F545" s="3" t="n"/>
      <c r="G545" s="3" t="n"/>
      <c r="H545" s="3" t="n"/>
    </row>
    <row r="546" ht="15.75" customHeight="1" s="21">
      <c r="A546" s="3" t="n"/>
      <c r="B546" s="3" t="n"/>
      <c r="C546" s="3" t="n"/>
      <c r="D546" s="3" t="n"/>
      <c r="E546" s="3" t="n"/>
      <c r="F546" s="3" t="n"/>
      <c r="G546" s="3" t="n"/>
      <c r="H546" s="3" t="n"/>
    </row>
    <row r="547" ht="15.75" customHeight="1" s="21">
      <c r="A547" s="3" t="n"/>
      <c r="B547" s="3" t="n"/>
      <c r="C547" s="3" t="n"/>
      <c r="D547" s="3" t="n"/>
      <c r="E547" s="3" t="n"/>
      <c r="F547" s="3" t="n"/>
      <c r="G547" s="3" t="n"/>
      <c r="H547" s="3" t="n"/>
    </row>
    <row r="548" ht="15.75" customHeight="1" s="21">
      <c r="A548" s="3" t="n"/>
      <c r="B548" s="3" t="n"/>
      <c r="C548" s="3" t="n"/>
      <c r="D548" s="3" t="n"/>
      <c r="E548" s="3" t="n"/>
      <c r="F548" s="3" t="n"/>
      <c r="G548" s="3" t="n"/>
      <c r="H548" s="3" t="n"/>
    </row>
    <row r="549" ht="15.75" customHeight="1" s="21">
      <c r="A549" s="3" t="n"/>
      <c r="B549" s="3" t="n"/>
      <c r="C549" s="3" t="n"/>
      <c r="D549" s="3" t="n"/>
      <c r="E549" s="3" t="n"/>
      <c r="F549" s="3" t="n"/>
      <c r="G549" s="3" t="n"/>
      <c r="H549" s="3" t="n"/>
    </row>
    <row r="550" ht="15.75" customHeight="1" s="21">
      <c r="A550" s="3" t="n"/>
      <c r="B550" s="3" t="n"/>
      <c r="C550" s="3" t="n"/>
      <c r="D550" s="3" t="n"/>
      <c r="E550" s="3" t="n"/>
      <c r="F550" s="3" t="n"/>
      <c r="G550" s="3" t="n"/>
      <c r="H550" s="3" t="n"/>
    </row>
    <row r="551" ht="15.75" customHeight="1" s="21">
      <c r="A551" s="3" t="n"/>
      <c r="B551" s="3" t="n"/>
      <c r="C551" s="3" t="n"/>
      <c r="D551" s="3" t="n"/>
      <c r="E551" s="3" t="n"/>
      <c r="F551" s="3" t="n"/>
      <c r="G551" s="3" t="n"/>
      <c r="H551" s="3" t="n"/>
    </row>
    <row r="552" ht="15.75" customHeight="1" s="21">
      <c r="A552" s="3" t="n"/>
      <c r="B552" s="3" t="n"/>
      <c r="C552" s="3" t="n"/>
      <c r="D552" s="3" t="n"/>
      <c r="E552" s="3" t="n"/>
      <c r="F552" s="3" t="n"/>
      <c r="G552" s="3" t="n"/>
      <c r="H552" s="3" t="n"/>
    </row>
    <row r="553" ht="15.75" customHeight="1" s="21">
      <c r="A553" s="3" t="n"/>
      <c r="B553" s="3" t="n"/>
      <c r="C553" s="3" t="n"/>
      <c r="D553" s="3" t="n"/>
      <c r="E553" s="3" t="n"/>
      <c r="F553" s="3" t="n"/>
      <c r="G553" s="3" t="n"/>
      <c r="H553" s="3" t="n"/>
    </row>
    <row r="554" ht="15.75" customHeight="1" s="21">
      <c r="A554" s="3" t="n"/>
      <c r="B554" s="3" t="n"/>
      <c r="C554" s="3" t="n"/>
      <c r="D554" s="3" t="n"/>
      <c r="E554" s="3" t="n"/>
      <c r="F554" s="3" t="n"/>
      <c r="G554" s="3" t="n"/>
      <c r="H554" s="3" t="n"/>
    </row>
    <row r="555" ht="15.75" customHeight="1" s="21">
      <c r="A555" s="3" t="n"/>
      <c r="B555" s="3" t="n"/>
      <c r="C555" s="3" t="n"/>
      <c r="D555" s="3" t="n"/>
      <c r="E555" s="3" t="n"/>
      <c r="F555" s="3" t="n"/>
      <c r="G555" s="3" t="n"/>
      <c r="H555" s="3" t="n"/>
    </row>
    <row r="556" ht="15.75" customHeight="1" s="21">
      <c r="A556" s="3" t="n"/>
      <c r="B556" s="3" t="n"/>
      <c r="C556" s="3" t="n"/>
      <c r="D556" s="3" t="n"/>
      <c r="E556" s="3" t="n"/>
      <c r="F556" s="3" t="n"/>
      <c r="G556" s="3" t="n"/>
      <c r="H556" s="3" t="n"/>
    </row>
    <row r="557" ht="15.75" customHeight="1" s="21">
      <c r="A557" s="3" t="n"/>
      <c r="B557" s="3" t="n"/>
      <c r="C557" s="3" t="n"/>
      <c r="D557" s="3" t="n"/>
      <c r="E557" s="3" t="n"/>
      <c r="F557" s="3" t="n"/>
      <c r="G557" s="3" t="n"/>
      <c r="H557" s="3" t="n"/>
    </row>
    <row r="558" ht="15.75" customHeight="1" s="21">
      <c r="A558" s="3" t="n"/>
      <c r="B558" s="3" t="n"/>
      <c r="C558" s="3" t="n"/>
      <c r="D558" s="3" t="n"/>
      <c r="E558" s="3" t="n"/>
      <c r="F558" s="3" t="n"/>
      <c r="G558" s="3" t="n"/>
      <c r="H558" s="3" t="n"/>
    </row>
    <row r="559" ht="15.75" customHeight="1" s="21">
      <c r="A559" s="3" t="n"/>
      <c r="B559" s="3" t="n"/>
      <c r="C559" s="3" t="n"/>
      <c r="D559" s="3" t="n"/>
      <c r="E559" s="3" t="n"/>
      <c r="F559" s="3" t="n"/>
      <c r="G559" s="3" t="n"/>
      <c r="H559" s="3" t="n"/>
    </row>
    <row r="560" ht="15.75" customHeight="1" s="21">
      <c r="A560" s="3" t="n"/>
      <c r="B560" s="3" t="n"/>
      <c r="C560" s="3" t="n"/>
      <c r="D560" s="3" t="n"/>
      <c r="E560" s="3" t="n"/>
      <c r="F560" s="3" t="n"/>
      <c r="G560" s="3" t="n"/>
      <c r="H560" s="3" t="n"/>
    </row>
    <row r="561" ht="15.75" customHeight="1" s="21">
      <c r="A561" s="3" t="n"/>
      <c r="B561" s="3" t="n"/>
      <c r="C561" s="3" t="n"/>
      <c r="D561" s="3" t="n"/>
      <c r="E561" s="3" t="n"/>
      <c r="F561" s="3" t="n"/>
      <c r="G561" s="3" t="n"/>
      <c r="H561" s="3" t="n"/>
    </row>
    <row r="562" ht="15.75" customHeight="1" s="21">
      <c r="A562" s="3" t="n"/>
      <c r="B562" s="3" t="n"/>
      <c r="C562" s="3" t="n"/>
      <c r="D562" s="3" t="n"/>
      <c r="E562" s="3" t="n"/>
      <c r="F562" s="3" t="n"/>
      <c r="G562" s="3" t="n"/>
      <c r="H562" s="3" t="n"/>
    </row>
    <row r="563" ht="15.75" customHeight="1" s="21">
      <c r="A563" s="3" t="n"/>
      <c r="B563" s="3" t="n"/>
      <c r="C563" s="3" t="n"/>
      <c r="D563" s="3" t="n"/>
      <c r="E563" s="3" t="n"/>
      <c r="F563" s="3" t="n"/>
      <c r="G563" s="3" t="n"/>
      <c r="H563" s="3" t="n"/>
    </row>
    <row r="564" ht="15.75" customHeight="1" s="21">
      <c r="A564" s="3" t="n"/>
      <c r="B564" s="3" t="n"/>
      <c r="C564" s="3" t="n"/>
      <c r="D564" s="3" t="n"/>
      <c r="E564" s="3" t="n"/>
      <c r="F564" s="3" t="n"/>
      <c r="G564" s="3" t="n"/>
      <c r="H564" s="3" t="n"/>
    </row>
    <row r="565" ht="15.75" customHeight="1" s="21">
      <c r="A565" s="3" t="n"/>
      <c r="B565" s="3" t="n"/>
      <c r="C565" s="3" t="n"/>
      <c r="D565" s="3" t="n"/>
      <c r="E565" s="3" t="n"/>
      <c r="F565" s="3" t="n"/>
      <c r="G565" s="3" t="n"/>
      <c r="H565" s="3" t="n"/>
    </row>
    <row r="566" ht="15.75" customHeight="1" s="21">
      <c r="A566" s="3" t="n"/>
      <c r="B566" s="3" t="n"/>
      <c r="C566" s="3" t="n"/>
      <c r="D566" s="3" t="n"/>
      <c r="E566" s="3" t="n"/>
      <c r="F566" s="3" t="n"/>
      <c r="G566" s="3" t="n"/>
      <c r="H566" s="3" t="n"/>
    </row>
    <row r="567" ht="15.75" customHeight="1" s="21">
      <c r="A567" s="3" t="n"/>
      <c r="B567" s="3" t="n"/>
      <c r="C567" s="3" t="n"/>
      <c r="D567" s="3" t="n"/>
      <c r="E567" s="3" t="n"/>
      <c r="F567" s="3" t="n"/>
      <c r="G567" s="3" t="n"/>
      <c r="H567" s="3" t="n"/>
    </row>
    <row r="568" ht="15.75" customHeight="1" s="21">
      <c r="A568" s="3" t="n"/>
      <c r="B568" s="3" t="n"/>
      <c r="C568" s="3" t="n"/>
      <c r="D568" s="3" t="n"/>
      <c r="E568" s="3" t="n"/>
      <c r="F568" s="3" t="n"/>
      <c r="G568" s="3" t="n"/>
      <c r="H568" s="3" t="n"/>
    </row>
    <row r="569" ht="15.75" customHeight="1" s="21">
      <c r="A569" s="3" t="n"/>
      <c r="B569" s="3" t="n"/>
      <c r="C569" s="3" t="n"/>
      <c r="D569" s="3" t="n"/>
      <c r="E569" s="3" t="n"/>
      <c r="F569" s="3" t="n"/>
      <c r="G569" s="3" t="n"/>
      <c r="H569" s="3" t="n"/>
    </row>
    <row r="570" ht="15.75" customHeight="1" s="21">
      <c r="A570" s="3" t="n"/>
      <c r="B570" s="3" t="n"/>
      <c r="C570" s="3" t="n"/>
      <c r="D570" s="3" t="n"/>
      <c r="E570" s="3" t="n"/>
      <c r="F570" s="3" t="n"/>
      <c r="G570" s="3" t="n"/>
      <c r="H570" s="3" t="n"/>
    </row>
    <row r="571" ht="15.75" customHeight="1" s="21">
      <c r="A571" s="3" t="n"/>
      <c r="B571" s="3" t="n"/>
      <c r="C571" s="3" t="n"/>
      <c r="D571" s="3" t="n"/>
      <c r="E571" s="3" t="n"/>
      <c r="F571" s="3" t="n"/>
      <c r="G571" s="3" t="n"/>
      <c r="H571" s="3" t="n"/>
    </row>
    <row r="572" ht="15.75" customHeight="1" s="21">
      <c r="A572" s="3" t="n"/>
      <c r="B572" s="3" t="n"/>
      <c r="C572" s="3" t="n"/>
      <c r="D572" s="3" t="n"/>
      <c r="E572" s="3" t="n"/>
      <c r="F572" s="3" t="n"/>
      <c r="G572" s="3" t="n"/>
      <c r="H572" s="3" t="n"/>
    </row>
    <row r="573" ht="15.75" customHeight="1" s="21">
      <c r="A573" s="3" t="n"/>
      <c r="B573" s="3" t="n"/>
      <c r="C573" s="3" t="n"/>
      <c r="D573" s="3" t="n"/>
      <c r="E573" s="3" t="n"/>
      <c r="F573" s="3" t="n"/>
      <c r="G573" s="3" t="n"/>
      <c r="H573" s="3" t="n"/>
    </row>
    <row r="574" ht="15.75" customHeight="1" s="21">
      <c r="A574" s="3" t="n"/>
      <c r="B574" s="3" t="n"/>
      <c r="C574" s="3" t="n"/>
      <c r="D574" s="3" t="n"/>
      <c r="E574" s="3" t="n"/>
      <c r="F574" s="3" t="n"/>
      <c r="G574" s="3" t="n"/>
      <c r="H574" s="3" t="n"/>
    </row>
    <row r="575" ht="15.75" customHeight="1" s="21">
      <c r="A575" s="3" t="n"/>
      <c r="B575" s="3" t="n"/>
      <c r="C575" s="3" t="n"/>
      <c r="D575" s="3" t="n"/>
      <c r="E575" s="3" t="n"/>
      <c r="F575" s="3" t="n"/>
      <c r="G575" s="3" t="n"/>
      <c r="H575" s="3" t="n"/>
    </row>
    <row r="576" ht="15.75" customHeight="1" s="21">
      <c r="A576" s="3" t="n"/>
      <c r="B576" s="3" t="n"/>
      <c r="C576" s="3" t="n"/>
      <c r="D576" s="3" t="n"/>
      <c r="E576" s="3" t="n"/>
      <c r="F576" s="3" t="n"/>
      <c r="G576" s="3" t="n"/>
      <c r="H576" s="3" t="n"/>
    </row>
    <row r="577" ht="15.75" customHeight="1" s="21">
      <c r="A577" s="3" t="n"/>
      <c r="B577" s="3" t="n"/>
      <c r="C577" s="3" t="n"/>
      <c r="D577" s="3" t="n"/>
      <c r="E577" s="3" t="n"/>
      <c r="F577" s="3" t="n"/>
      <c r="G577" s="3" t="n"/>
      <c r="H577" s="3" t="n"/>
    </row>
    <row r="578" ht="15.75" customHeight="1" s="21">
      <c r="A578" s="3" t="n"/>
      <c r="B578" s="3" t="n"/>
      <c r="C578" s="3" t="n"/>
      <c r="D578" s="3" t="n"/>
      <c r="E578" s="3" t="n"/>
      <c r="F578" s="3" t="n"/>
      <c r="G578" s="3" t="n"/>
      <c r="H578" s="3" t="n"/>
    </row>
    <row r="579" ht="15.75" customHeight="1" s="21">
      <c r="A579" s="3" t="n"/>
      <c r="B579" s="3" t="n"/>
      <c r="C579" s="3" t="n"/>
      <c r="D579" s="3" t="n"/>
      <c r="E579" s="3" t="n"/>
      <c r="F579" s="3" t="n"/>
      <c r="G579" s="3" t="n"/>
      <c r="H579" s="3" t="n"/>
    </row>
    <row r="580" ht="15.75" customHeight="1" s="21">
      <c r="A580" s="3" t="n"/>
      <c r="B580" s="3" t="n"/>
      <c r="C580" s="3" t="n"/>
      <c r="D580" s="3" t="n"/>
      <c r="E580" s="3" t="n"/>
      <c r="F580" s="3" t="n"/>
      <c r="G580" s="3" t="n"/>
      <c r="H580" s="3" t="n"/>
    </row>
    <row r="581" ht="15.75" customHeight="1" s="21">
      <c r="A581" s="3" t="n"/>
      <c r="B581" s="3" t="n"/>
      <c r="C581" s="3" t="n"/>
      <c r="D581" s="3" t="n"/>
      <c r="E581" s="3" t="n"/>
      <c r="F581" s="3" t="n"/>
      <c r="G581" s="3" t="n"/>
      <c r="H581" s="3" t="n"/>
    </row>
    <row r="582" ht="15.75" customHeight="1" s="21">
      <c r="A582" s="3" t="n"/>
      <c r="B582" s="3" t="n"/>
      <c r="C582" s="3" t="n"/>
      <c r="D582" s="3" t="n"/>
      <c r="E582" s="3" t="n"/>
      <c r="F582" s="3" t="n"/>
      <c r="G582" s="3" t="n"/>
      <c r="H582" s="3" t="n"/>
    </row>
    <row r="583" ht="15.75" customHeight="1" s="21">
      <c r="A583" s="3" t="n"/>
      <c r="B583" s="3" t="n"/>
      <c r="C583" s="3" t="n"/>
      <c r="D583" s="3" t="n"/>
      <c r="E583" s="3" t="n"/>
      <c r="F583" s="3" t="n"/>
      <c r="G583" s="3" t="n"/>
      <c r="H583" s="3" t="n"/>
    </row>
    <row r="584" ht="15.75" customHeight="1" s="21">
      <c r="A584" s="3" t="n"/>
      <c r="B584" s="3" t="n"/>
      <c r="C584" s="3" t="n"/>
      <c r="D584" s="3" t="n"/>
      <c r="E584" s="3" t="n"/>
      <c r="F584" s="3" t="n"/>
      <c r="G584" s="3" t="n"/>
      <c r="H584" s="3" t="n"/>
    </row>
    <row r="585" ht="15.75" customHeight="1" s="21">
      <c r="A585" s="3" t="n"/>
      <c r="B585" s="3" t="n"/>
      <c r="C585" s="3" t="n"/>
      <c r="D585" s="3" t="n"/>
      <c r="E585" s="3" t="n"/>
      <c r="F585" s="3" t="n"/>
      <c r="G585" s="3" t="n"/>
      <c r="H585" s="3" t="n"/>
    </row>
    <row r="586" ht="15.75" customHeight="1" s="21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 ht="15.75" customHeight="1" s="21">
      <c r="A587" s="3" t="n"/>
      <c r="B587" s="3" t="n"/>
      <c r="C587" s="3" t="n"/>
      <c r="D587" s="3" t="n"/>
      <c r="E587" s="3" t="n"/>
      <c r="F587" s="3" t="n"/>
      <c r="G587" s="3" t="n"/>
      <c r="H587" s="3" t="n"/>
    </row>
    <row r="588" ht="15.75" customHeight="1" s="21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 ht="15.75" customHeight="1" s="21">
      <c r="A589" s="3" t="n"/>
      <c r="B589" s="3" t="n"/>
      <c r="C589" s="3" t="n"/>
      <c r="D589" s="3" t="n"/>
      <c r="E589" s="3" t="n"/>
      <c r="F589" s="3" t="n"/>
      <c r="G589" s="3" t="n"/>
      <c r="H589" s="3" t="n"/>
    </row>
    <row r="590" ht="15.75" customHeight="1" s="21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 ht="15.75" customHeight="1" s="21">
      <c r="A591" s="3" t="n"/>
      <c r="B591" s="3" t="n"/>
      <c r="C591" s="3" t="n"/>
      <c r="D591" s="3" t="n"/>
      <c r="E591" s="3" t="n"/>
      <c r="F591" s="3" t="n"/>
      <c r="G591" s="3" t="n"/>
      <c r="H591" s="3" t="n"/>
    </row>
    <row r="592" ht="15.75" customHeight="1" s="21">
      <c r="A592" s="3" t="n"/>
      <c r="B592" s="3" t="n"/>
      <c r="C592" s="3" t="n"/>
      <c r="D592" s="3" t="n"/>
      <c r="E592" s="3" t="n"/>
      <c r="F592" s="3" t="n"/>
      <c r="G592" s="3" t="n"/>
      <c r="H592" s="3" t="n"/>
    </row>
    <row r="593" ht="15.75" customHeight="1" s="21">
      <c r="A593" s="3" t="n"/>
      <c r="B593" s="3" t="n"/>
      <c r="C593" s="3" t="n"/>
      <c r="D593" s="3" t="n"/>
      <c r="E593" s="3" t="n"/>
      <c r="F593" s="3" t="n"/>
      <c r="G593" s="3" t="n"/>
      <c r="H593" s="3" t="n"/>
    </row>
    <row r="594" ht="15.75" customHeight="1" s="21">
      <c r="A594" s="3" t="n"/>
      <c r="B594" s="3" t="n"/>
      <c r="C594" s="3" t="n"/>
      <c r="D594" s="3" t="n"/>
      <c r="E594" s="3" t="n"/>
      <c r="F594" s="3" t="n"/>
      <c r="G594" s="3" t="n"/>
      <c r="H594" s="3" t="n"/>
    </row>
    <row r="595" ht="15.75" customHeight="1" s="21">
      <c r="A595" s="3" t="n"/>
      <c r="B595" s="3" t="n"/>
      <c r="C595" s="3" t="n"/>
      <c r="D595" s="3" t="n"/>
      <c r="E595" s="3" t="n"/>
      <c r="F595" s="3" t="n"/>
      <c r="G595" s="3" t="n"/>
      <c r="H595" s="3" t="n"/>
    </row>
    <row r="596" ht="15.75" customHeight="1" s="21">
      <c r="A596" s="3" t="n"/>
      <c r="B596" s="3" t="n"/>
      <c r="C596" s="3" t="n"/>
      <c r="D596" s="3" t="n"/>
      <c r="E596" s="3" t="n"/>
      <c r="F596" s="3" t="n"/>
      <c r="G596" s="3" t="n"/>
      <c r="H596" s="3" t="n"/>
    </row>
    <row r="597" ht="15.75" customHeight="1" s="21">
      <c r="A597" s="3" t="n"/>
      <c r="B597" s="3" t="n"/>
      <c r="C597" s="3" t="n"/>
      <c r="D597" s="3" t="n"/>
      <c r="E597" s="3" t="n"/>
      <c r="F597" s="3" t="n"/>
      <c r="G597" s="3" t="n"/>
      <c r="H597" s="3" t="n"/>
    </row>
    <row r="598" ht="15.75" customHeight="1" s="21">
      <c r="A598" s="3" t="n"/>
      <c r="B598" s="3" t="n"/>
      <c r="C598" s="3" t="n"/>
      <c r="D598" s="3" t="n"/>
      <c r="E598" s="3" t="n"/>
      <c r="F598" s="3" t="n"/>
      <c r="G598" s="3" t="n"/>
      <c r="H598" s="3" t="n"/>
    </row>
    <row r="599" ht="15.75" customHeight="1" s="21">
      <c r="A599" s="3" t="n"/>
      <c r="B599" s="3" t="n"/>
      <c r="C599" s="3" t="n"/>
      <c r="D599" s="3" t="n"/>
      <c r="E599" s="3" t="n"/>
      <c r="F599" s="3" t="n"/>
      <c r="G599" s="3" t="n"/>
      <c r="H599" s="3" t="n"/>
    </row>
    <row r="600" ht="15.75" customHeight="1" s="21">
      <c r="A600" s="3" t="n"/>
      <c r="B600" s="3" t="n"/>
      <c r="C600" s="3" t="n"/>
      <c r="D600" s="3" t="n"/>
      <c r="E600" s="3" t="n"/>
      <c r="F600" s="3" t="n"/>
      <c r="G600" s="3" t="n"/>
      <c r="H600" s="3" t="n"/>
    </row>
    <row r="601" ht="15.75" customHeight="1" s="21">
      <c r="A601" s="3" t="n"/>
      <c r="B601" s="3" t="n"/>
      <c r="C601" s="3" t="n"/>
      <c r="D601" s="3" t="n"/>
      <c r="E601" s="3" t="n"/>
      <c r="F601" s="3" t="n"/>
      <c r="G601" s="3" t="n"/>
      <c r="H601" s="3" t="n"/>
    </row>
    <row r="602" ht="15.75" customHeight="1" s="21">
      <c r="A602" s="3" t="n"/>
      <c r="B602" s="3" t="n"/>
      <c r="C602" s="3" t="n"/>
      <c r="D602" s="3" t="n"/>
      <c r="E602" s="3" t="n"/>
      <c r="F602" s="3" t="n"/>
      <c r="G602" s="3" t="n"/>
      <c r="H602" s="3" t="n"/>
    </row>
    <row r="603" ht="15.75" customHeight="1" s="21">
      <c r="A603" s="3" t="n"/>
      <c r="B603" s="3" t="n"/>
      <c r="C603" s="3" t="n"/>
      <c r="D603" s="3" t="n"/>
      <c r="E603" s="3" t="n"/>
      <c r="F603" s="3" t="n"/>
      <c r="G603" s="3" t="n"/>
      <c r="H603" s="3" t="n"/>
    </row>
    <row r="604" ht="15.75" customHeight="1" s="21">
      <c r="A604" s="3" t="n"/>
      <c r="B604" s="3" t="n"/>
      <c r="C604" s="3" t="n"/>
      <c r="D604" s="3" t="n"/>
      <c r="E604" s="3" t="n"/>
      <c r="F604" s="3" t="n"/>
      <c r="G604" s="3" t="n"/>
      <c r="H604" s="3" t="n"/>
    </row>
    <row r="605" ht="15.75" customHeight="1" s="21">
      <c r="A605" s="3" t="n"/>
      <c r="B605" s="3" t="n"/>
      <c r="C605" s="3" t="n"/>
      <c r="D605" s="3" t="n"/>
      <c r="E605" s="3" t="n"/>
      <c r="F605" s="3" t="n"/>
      <c r="G605" s="3" t="n"/>
      <c r="H605" s="3" t="n"/>
    </row>
    <row r="606" ht="15.75" customHeight="1" s="21">
      <c r="A606" s="3" t="n"/>
      <c r="B606" s="3" t="n"/>
      <c r="C606" s="3" t="n"/>
      <c r="D606" s="3" t="n"/>
      <c r="E606" s="3" t="n"/>
      <c r="F606" s="3" t="n"/>
      <c r="G606" s="3" t="n"/>
      <c r="H606" s="3" t="n"/>
    </row>
    <row r="607" ht="15.75" customHeight="1" s="21">
      <c r="A607" s="3" t="n"/>
      <c r="B607" s="3" t="n"/>
      <c r="C607" s="3" t="n"/>
      <c r="D607" s="3" t="n"/>
      <c r="E607" s="3" t="n"/>
      <c r="F607" s="3" t="n"/>
      <c r="G607" s="3" t="n"/>
      <c r="H607" s="3" t="n"/>
    </row>
    <row r="608" ht="15.75" customHeight="1" s="21">
      <c r="A608" s="3" t="n"/>
      <c r="B608" s="3" t="n"/>
      <c r="C608" s="3" t="n"/>
      <c r="D608" s="3" t="n"/>
      <c r="E608" s="3" t="n"/>
      <c r="F608" s="3" t="n"/>
      <c r="G608" s="3" t="n"/>
      <c r="H608" s="3" t="n"/>
    </row>
    <row r="609" ht="15.75" customHeight="1" s="21">
      <c r="A609" s="3" t="n"/>
      <c r="B609" s="3" t="n"/>
      <c r="C609" s="3" t="n"/>
      <c r="D609" s="3" t="n"/>
      <c r="E609" s="3" t="n"/>
      <c r="F609" s="3" t="n"/>
      <c r="G609" s="3" t="n"/>
      <c r="H609" s="3" t="n"/>
    </row>
    <row r="610" ht="15.75" customHeight="1" s="21">
      <c r="A610" s="3" t="n"/>
      <c r="B610" s="3" t="n"/>
      <c r="C610" s="3" t="n"/>
      <c r="D610" s="3" t="n"/>
      <c r="E610" s="3" t="n"/>
      <c r="F610" s="3" t="n"/>
      <c r="G610" s="3" t="n"/>
      <c r="H610" s="3" t="n"/>
    </row>
    <row r="611" ht="15.75" customHeight="1" s="21">
      <c r="A611" s="3" t="n"/>
      <c r="B611" s="3" t="n"/>
      <c r="C611" s="3" t="n"/>
      <c r="D611" s="3" t="n"/>
      <c r="E611" s="3" t="n"/>
      <c r="F611" s="3" t="n"/>
      <c r="G611" s="3" t="n"/>
      <c r="H611" s="3" t="n"/>
    </row>
    <row r="612" ht="15.75" customHeight="1" s="21">
      <c r="A612" s="3" t="n"/>
      <c r="B612" s="3" t="n"/>
      <c r="C612" s="3" t="n"/>
      <c r="D612" s="3" t="n"/>
      <c r="E612" s="3" t="n"/>
      <c r="F612" s="3" t="n"/>
      <c r="G612" s="3" t="n"/>
      <c r="H612" s="3" t="n"/>
    </row>
    <row r="613" ht="15.75" customHeight="1" s="21">
      <c r="A613" s="3" t="n"/>
      <c r="B613" s="3" t="n"/>
      <c r="C613" s="3" t="n"/>
      <c r="D613" s="3" t="n"/>
      <c r="E613" s="3" t="n"/>
      <c r="F613" s="3" t="n"/>
      <c r="G613" s="3" t="n"/>
      <c r="H613" s="3" t="n"/>
    </row>
    <row r="614" ht="15.75" customHeight="1" s="21">
      <c r="A614" s="3" t="n"/>
      <c r="B614" s="3" t="n"/>
      <c r="C614" s="3" t="n"/>
      <c r="D614" s="3" t="n"/>
      <c r="E614" s="3" t="n"/>
      <c r="F614" s="3" t="n"/>
      <c r="G614" s="3" t="n"/>
      <c r="H614" s="3" t="n"/>
    </row>
    <row r="615" ht="15.75" customHeight="1" s="21">
      <c r="A615" s="3" t="n"/>
      <c r="B615" s="3" t="n"/>
      <c r="C615" s="3" t="n"/>
      <c r="D615" s="3" t="n"/>
      <c r="E615" s="3" t="n"/>
      <c r="F615" s="3" t="n"/>
      <c r="G615" s="3" t="n"/>
      <c r="H615" s="3" t="n"/>
    </row>
    <row r="616" ht="15.75" customHeight="1" s="21">
      <c r="A616" s="3" t="n"/>
      <c r="B616" s="3" t="n"/>
      <c r="C616" s="3" t="n"/>
      <c r="D616" s="3" t="n"/>
      <c r="E616" s="3" t="n"/>
      <c r="F616" s="3" t="n"/>
      <c r="G616" s="3" t="n"/>
      <c r="H616" s="3" t="n"/>
    </row>
    <row r="617" ht="15.75" customHeight="1" s="21">
      <c r="A617" s="3" t="n"/>
      <c r="B617" s="3" t="n"/>
      <c r="C617" s="3" t="n"/>
      <c r="D617" s="3" t="n"/>
      <c r="E617" s="3" t="n"/>
      <c r="F617" s="3" t="n"/>
      <c r="G617" s="3" t="n"/>
      <c r="H617" s="3" t="n"/>
    </row>
    <row r="618" ht="15.75" customHeight="1" s="21">
      <c r="A618" s="3" t="n"/>
      <c r="B618" s="3" t="n"/>
      <c r="C618" s="3" t="n"/>
      <c r="D618" s="3" t="n"/>
      <c r="E618" s="3" t="n"/>
      <c r="F618" s="3" t="n"/>
      <c r="G618" s="3" t="n"/>
      <c r="H618" s="3" t="n"/>
    </row>
    <row r="619" ht="15.75" customHeight="1" s="21">
      <c r="A619" s="3" t="n"/>
      <c r="B619" s="3" t="n"/>
      <c r="C619" s="3" t="n"/>
      <c r="D619" s="3" t="n"/>
      <c r="E619" s="3" t="n"/>
      <c r="F619" s="3" t="n"/>
      <c r="G619" s="3" t="n"/>
      <c r="H619" s="3" t="n"/>
    </row>
    <row r="620" ht="15.75" customHeight="1" s="21">
      <c r="A620" s="3" t="n"/>
      <c r="B620" s="3" t="n"/>
      <c r="C620" s="3" t="n"/>
      <c r="D620" s="3" t="n"/>
      <c r="E620" s="3" t="n"/>
      <c r="F620" s="3" t="n"/>
      <c r="G620" s="3" t="n"/>
      <c r="H620" s="3" t="n"/>
    </row>
    <row r="621" ht="15.75" customHeight="1" s="21">
      <c r="A621" s="3" t="n"/>
      <c r="B621" s="3" t="n"/>
      <c r="C621" s="3" t="n"/>
      <c r="D621" s="3" t="n"/>
      <c r="E621" s="3" t="n"/>
      <c r="F621" s="3" t="n"/>
      <c r="G621" s="3" t="n"/>
      <c r="H621" s="3" t="n"/>
    </row>
    <row r="622" ht="15.75" customHeight="1" s="21">
      <c r="A622" s="3" t="n"/>
      <c r="B622" s="3" t="n"/>
      <c r="C622" s="3" t="n"/>
      <c r="D622" s="3" t="n"/>
      <c r="E622" s="3" t="n"/>
      <c r="F622" s="3" t="n"/>
      <c r="G622" s="3" t="n"/>
      <c r="H622" s="3" t="n"/>
    </row>
    <row r="623" ht="15.75" customHeight="1" s="21">
      <c r="A623" s="3" t="n"/>
      <c r="B623" s="3" t="n"/>
      <c r="C623" s="3" t="n"/>
      <c r="D623" s="3" t="n"/>
      <c r="E623" s="3" t="n"/>
      <c r="F623" s="3" t="n"/>
      <c r="G623" s="3" t="n"/>
      <c r="H623" s="3" t="n"/>
    </row>
    <row r="624" ht="15.75" customHeight="1" s="21">
      <c r="A624" s="3" t="n"/>
      <c r="B624" s="3" t="n"/>
      <c r="C624" s="3" t="n"/>
      <c r="D624" s="3" t="n"/>
      <c r="E624" s="3" t="n"/>
      <c r="F624" s="3" t="n"/>
      <c r="G624" s="3" t="n"/>
      <c r="H624" s="3" t="n"/>
    </row>
    <row r="625" ht="15.75" customHeight="1" s="21">
      <c r="A625" s="3" t="n"/>
      <c r="B625" s="3" t="n"/>
      <c r="C625" s="3" t="n"/>
      <c r="D625" s="3" t="n"/>
      <c r="E625" s="3" t="n"/>
      <c r="F625" s="3" t="n"/>
      <c r="G625" s="3" t="n"/>
      <c r="H625" s="3" t="n"/>
    </row>
    <row r="626" ht="15.75" customHeight="1" s="21">
      <c r="A626" s="3" t="n"/>
      <c r="B626" s="3" t="n"/>
      <c r="C626" s="3" t="n"/>
      <c r="D626" s="3" t="n"/>
      <c r="E626" s="3" t="n"/>
      <c r="F626" s="3" t="n"/>
      <c r="G626" s="3" t="n"/>
      <c r="H626" s="3" t="n"/>
    </row>
    <row r="627" ht="15.75" customHeight="1" s="21">
      <c r="A627" s="3" t="n"/>
      <c r="B627" s="3" t="n"/>
      <c r="C627" s="3" t="n"/>
      <c r="D627" s="3" t="n"/>
      <c r="E627" s="3" t="n"/>
      <c r="F627" s="3" t="n"/>
      <c r="G627" s="3" t="n"/>
      <c r="H627" s="3" t="n"/>
    </row>
    <row r="628" ht="15.75" customHeight="1" s="21">
      <c r="A628" s="3" t="n"/>
      <c r="B628" s="3" t="n"/>
      <c r="C628" s="3" t="n"/>
      <c r="D628" s="3" t="n"/>
      <c r="E628" s="3" t="n"/>
      <c r="F628" s="3" t="n"/>
      <c r="G628" s="3" t="n"/>
      <c r="H628" s="3" t="n"/>
    </row>
    <row r="629" ht="15.75" customHeight="1" s="21">
      <c r="A629" s="3" t="n"/>
      <c r="B629" s="3" t="n"/>
      <c r="C629" s="3" t="n"/>
      <c r="D629" s="3" t="n"/>
      <c r="E629" s="3" t="n"/>
      <c r="F629" s="3" t="n"/>
      <c r="G629" s="3" t="n"/>
      <c r="H629" s="3" t="n"/>
    </row>
    <row r="630" ht="15.75" customHeight="1" s="21">
      <c r="A630" s="3" t="n"/>
      <c r="B630" s="3" t="n"/>
      <c r="C630" s="3" t="n"/>
      <c r="D630" s="3" t="n"/>
      <c r="E630" s="3" t="n"/>
      <c r="F630" s="3" t="n"/>
      <c r="G630" s="3" t="n"/>
      <c r="H630" s="3" t="n"/>
    </row>
    <row r="631" ht="15.75" customHeight="1" s="21">
      <c r="A631" s="3" t="n"/>
      <c r="B631" s="3" t="n"/>
      <c r="C631" s="3" t="n"/>
      <c r="D631" s="3" t="n"/>
      <c r="E631" s="3" t="n"/>
      <c r="F631" s="3" t="n"/>
      <c r="G631" s="3" t="n"/>
      <c r="H631" s="3" t="n"/>
    </row>
    <row r="632" ht="15.75" customHeight="1" s="21">
      <c r="A632" s="3" t="n"/>
      <c r="B632" s="3" t="n"/>
      <c r="C632" s="3" t="n"/>
      <c r="D632" s="3" t="n"/>
      <c r="E632" s="3" t="n"/>
      <c r="F632" s="3" t="n"/>
      <c r="G632" s="3" t="n"/>
      <c r="H632" s="3" t="n"/>
    </row>
    <row r="633" ht="15.75" customHeight="1" s="21">
      <c r="A633" s="3" t="n"/>
      <c r="B633" s="3" t="n"/>
      <c r="C633" s="3" t="n"/>
      <c r="D633" s="3" t="n"/>
      <c r="E633" s="3" t="n"/>
      <c r="F633" s="3" t="n"/>
      <c r="G633" s="3" t="n"/>
      <c r="H633" s="3" t="n"/>
    </row>
    <row r="634" ht="15.75" customHeight="1" s="21">
      <c r="A634" s="3" t="n"/>
      <c r="B634" s="3" t="n"/>
      <c r="C634" s="3" t="n"/>
      <c r="D634" s="3" t="n"/>
      <c r="E634" s="3" t="n"/>
      <c r="F634" s="3" t="n"/>
      <c r="G634" s="3" t="n"/>
      <c r="H634" s="3" t="n"/>
    </row>
    <row r="635" ht="15.75" customHeight="1" s="21">
      <c r="A635" s="3" t="n"/>
      <c r="B635" s="3" t="n"/>
      <c r="C635" s="3" t="n"/>
      <c r="D635" s="3" t="n"/>
      <c r="E635" s="3" t="n"/>
      <c r="F635" s="3" t="n"/>
      <c r="G635" s="3" t="n"/>
      <c r="H635" s="3" t="n"/>
    </row>
    <row r="636" ht="15.75" customHeight="1" s="21">
      <c r="A636" s="3" t="n"/>
      <c r="B636" s="3" t="n"/>
      <c r="C636" s="3" t="n"/>
      <c r="D636" s="3" t="n"/>
      <c r="E636" s="3" t="n"/>
      <c r="F636" s="3" t="n"/>
      <c r="G636" s="3" t="n"/>
      <c r="H636" s="3" t="n"/>
    </row>
    <row r="637" ht="15.75" customHeight="1" s="21">
      <c r="A637" s="3" t="n"/>
      <c r="B637" s="3" t="n"/>
      <c r="C637" s="3" t="n"/>
      <c r="D637" s="3" t="n"/>
      <c r="E637" s="3" t="n"/>
      <c r="F637" s="3" t="n"/>
      <c r="G637" s="3" t="n"/>
      <c r="H637" s="3" t="n"/>
    </row>
    <row r="638" ht="15.75" customHeight="1" s="21">
      <c r="A638" s="3" t="n"/>
      <c r="B638" s="3" t="n"/>
      <c r="C638" s="3" t="n"/>
      <c r="D638" s="3" t="n"/>
      <c r="E638" s="3" t="n"/>
      <c r="F638" s="3" t="n"/>
      <c r="G638" s="3" t="n"/>
      <c r="H638" s="3" t="n"/>
    </row>
    <row r="639" ht="15.75" customHeight="1" s="21">
      <c r="A639" s="3" t="n"/>
      <c r="B639" s="3" t="n"/>
      <c r="C639" s="3" t="n"/>
      <c r="D639" s="3" t="n"/>
      <c r="E639" s="3" t="n"/>
      <c r="F639" s="3" t="n"/>
      <c r="G639" s="3" t="n"/>
      <c r="H639" s="3" t="n"/>
    </row>
    <row r="640" ht="15.75" customHeight="1" s="21">
      <c r="A640" s="3" t="n"/>
      <c r="B640" s="3" t="n"/>
      <c r="C640" s="3" t="n"/>
      <c r="D640" s="3" t="n"/>
      <c r="E640" s="3" t="n"/>
      <c r="F640" s="3" t="n"/>
      <c r="G640" s="3" t="n"/>
      <c r="H640" s="3" t="n"/>
    </row>
    <row r="641" ht="15.75" customHeight="1" s="21">
      <c r="A641" s="3" t="n"/>
      <c r="B641" s="3" t="n"/>
      <c r="C641" s="3" t="n"/>
      <c r="D641" s="3" t="n"/>
      <c r="E641" s="3" t="n"/>
      <c r="F641" s="3" t="n"/>
      <c r="G641" s="3" t="n"/>
      <c r="H641" s="3" t="n"/>
    </row>
    <row r="642" ht="15.75" customHeight="1" s="21">
      <c r="A642" s="3" t="n"/>
      <c r="B642" s="3" t="n"/>
      <c r="C642" s="3" t="n"/>
      <c r="D642" s="3" t="n"/>
      <c r="E642" s="3" t="n"/>
      <c r="F642" s="3" t="n"/>
      <c r="G642" s="3" t="n"/>
      <c r="H642" s="3" t="n"/>
    </row>
    <row r="643" ht="15.75" customHeight="1" s="21">
      <c r="A643" s="3" t="n"/>
      <c r="B643" s="3" t="n"/>
      <c r="C643" s="3" t="n"/>
      <c r="D643" s="3" t="n"/>
      <c r="E643" s="3" t="n"/>
      <c r="F643" s="3" t="n"/>
      <c r="G643" s="3" t="n"/>
      <c r="H643" s="3" t="n"/>
    </row>
    <row r="644" ht="15.75" customHeight="1" s="21">
      <c r="A644" s="3" t="n"/>
      <c r="B644" s="3" t="n"/>
      <c r="C644" s="3" t="n"/>
      <c r="D644" s="3" t="n"/>
      <c r="E644" s="3" t="n"/>
      <c r="F644" s="3" t="n"/>
      <c r="G644" s="3" t="n"/>
      <c r="H644" s="3" t="n"/>
    </row>
    <row r="645" ht="15.75" customHeight="1" s="21">
      <c r="A645" s="3" t="n"/>
      <c r="B645" s="3" t="n"/>
      <c r="C645" s="3" t="n"/>
      <c r="D645" s="3" t="n"/>
      <c r="E645" s="3" t="n"/>
      <c r="F645" s="3" t="n"/>
      <c r="G645" s="3" t="n"/>
      <c r="H645" s="3" t="n"/>
    </row>
    <row r="646" ht="15.75" customHeight="1" s="21">
      <c r="A646" s="3" t="n"/>
      <c r="B646" s="3" t="n"/>
      <c r="C646" s="3" t="n"/>
      <c r="D646" s="3" t="n"/>
      <c r="E646" s="3" t="n"/>
      <c r="F646" s="3" t="n"/>
      <c r="G646" s="3" t="n"/>
      <c r="H646" s="3" t="n"/>
    </row>
    <row r="647" ht="15.75" customHeight="1" s="21">
      <c r="A647" s="3" t="n"/>
      <c r="B647" s="3" t="n"/>
      <c r="C647" s="3" t="n"/>
      <c r="D647" s="3" t="n"/>
      <c r="E647" s="3" t="n"/>
      <c r="F647" s="3" t="n"/>
      <c r="G647" s="3" t="n"/>
      <c r="H647" s="3" t="n"/>
    </row>
    <row r="648" ht="15.75" customHeight="1" s="21">
      <c r="A648" s="3" t="n"/>
      <c r="B648" s="3" t="n"/>
      <c r="C648" s="3" t="n"/>
      <c r="D648" s="3" t="n"/>
      <c r="E648" s="3" t="n"/>
      <c r="F648" s="3" t="n"/>
      <c r="G648" s="3" t="n"/>
      <c r="H648" s="3" t="n"/>
    </row>
    <row r="649" ht="15.75" customHeight="1" s="21">
      <c r="A649" s="3" t="n"/>
      <c r="B649" s="3" t="n"/>
      <c r="C649" s="3" t="n"/>
      <c r="D649" s="3" t="n"/>
      <c r="E649" s="3" t="n"/>
      <c r="F649" s="3" t="n"/>
      <c r="G649" s="3" t="n"/>
      <c r="H649" s="3" t="n"/>
    </row>
    <row r="650" ht="15.75" customHeight="1" s="21">
      <c r="A650" s="3" t="n"/>
      <c r="B650" s="3" t="n"/>
      <c r="C650" s="3" t="n"/>
      <c r="D650" s="3" t="n"/>
      <c r="E650" s="3" t="n"/>
      <c r="F650" s="3" t="n"/>
      <c r="G650" s="3" t="n"/>
      <c r="H650" s="3" t="n"/>
    </row>
    <row r="651" ht="15.75" customHeight="1" s="21">
      <c r="A651" s="3" t="n"/>
      <c r="B651" s="3" t="n"/>
      <c r="C651" s="3" t="n"/>
      <c r="D651" s="3" t="n"/>
      <c r="E651" s="3" t="n"/>
      <c r="F651" s="3" t="n"/>
      <c r="G651" s="3" t="n"/>
      <c r="H651" s="3" t="n"/>
    </row>
    <row r="652" ht="15.75" customHeight="1" s="21">
      <c r="A652" s="3" t="n"/>
      <c r="B652" s="3" t="n"/>
      <c r="C652" s="3" t="n"/>
      <c r="D652" s="3" t="n"/>
      <c r="E652" s="3" t="n"/>
      <c r="F652" s="3" t="n"/>
      <c r="G652" s="3" t="n"/>
      <c r="H652" s="3" t="n"/>
    </row>
    <row r="653" ht="15.75" customHeight="1" s="21">
      <c r="A653" s="3" t="n"/>
      <c r="B653" s="3" t="n"/>
      <c r="C653" s="3" t="n"/>
      <c r="D653" s="3" t="n"/>
      <c r="E653" s="3" t="n"/>
      <c r="F653" s="3" t="n"/>
      <c r="G653" s="3" t="n"/>
      <c r="H653" s="3" t="n"/>
    </row>
    <row r="654" ht="15.75" customHeight="1" s="21">
      <c r="A654" s="3" t="n"/>
      <c r="B654" s="3" t="n"/>
      <c r="C654" s="3" t="n"/>
      <c r="D654" s="3" t="n"/>
      <c r="E654" s="3" t="n"/>
      <c r="F654" s="3" t="n"/>
      <c r="G654" s="3" t="n"/>
      <c r="H654" s="3" t="n"/>
    </row>
    <row r="655" ht="15.75" customHeight="1" s="21">
      <c r="A655" s="3" t="n"/>
      <c r="B655" s="3" t="n"/>
      <c r="C655" s="3" t="n"/>
      <c r="D655" s="3" t="n"/>
      <c r="E655" s="3" t="n"/>
      <c r="F655" s="3" t="n"/>
      <c r="G655" s="3" t="n"/>
      <c r="H655" s="3" t="n"/>
    </row>
    <row r="656" ht="15.75" customHeight="1" s="21">
      <c r="A656" s="3" t="n"/>
      <c r="B656" s="3" t="n"/>
      <c r="C656" s="3" t="n"/>
      <c r="D656" s="3" t="n"/>
      <c r="E656" s="3" t="n"/>
      <c r="F656" s="3" t="n"/>
      <c r="G656" s="3" t="n"/>
      <c r="H656" s="3" t="n"/>
    </row>
    <row r="657" ht="15.75" customHeight="1" s="21">
      <c r="A657" s="3" t="n"/>
      <c r="B657" s="3" t="n"/>
      <c r="C657" s="3" t="n"/>
      <c r="D657" s="3" t="n"/>
      <c r="E657" s="3" t="n"/>
      <c r="F657" s="3" t="n"/>
      <c r="G657" s="3" t="n"/>
      <c r="H657" s="3" t="n"/>
    </row>
    <row r="658" ht="15.75" customHeight="1" s="21">
      <c r="A658" s="3" t="n"/>
      <c r="B658" s="3" t="n"/>
      <c r="C658" s="3" t="n"/>
      <c r="D658" s="3" t="n"/>
      <c r="E658" s="3" t="n"/>
      <c r="F658" s="3" t="n"/>
      <c r="G658" s="3" t="n"/>
      <c r="H658" s="3" t="n"/>
    </row>
    <row r="659" ht="15.75" customHeight="1" s="21">
      <c r="A659" s="3" t="n"/>
      <c r="B659" s="3" t="n"/>
      <c r="C659" s="3" t="n"/>
      <c r="D659" s="3" t="n"/>
      <c r="E659" s="3" t="n"/>
      <c r="F659" s="3" t="n"/>
      <c r="G659" s="3" t="n"/>
      <c r="H659" s="3" t="n"/>
    </row>
    <row r="660" ht="15.75" customHeight="1" s="21">
      <c r="A660" s="3" t="n"/>
      <c r="B660" s="3" t="n"/>
      <c r="C660" s="3" t="n"/>
      <c r="D660" s="3" t="n"/>
      <c r="E660" s="3" t="n"/>
      <c r="F660" s="3" t="n"/>
      <c r="G660" s="3" t="n"/>
      <c r="H660" s="3" t="n"/>
    </row>
    <row r="661" ht="15.75" customHeight="1" s="21">
      <c r="A661" s="3" t="n"/>
      <c r="B661" s="3" t="n"/>
      <c r="C661" s="3" t="n"/>
      <c r="D661" s="3" t="n"/>
      <c r="E661" s="3" t="n"/>
      <c r="F661" s="3" t="n"/>
      <c r="G661" s="3" t="n"/>
      <c r="H661" s="3" t="n"/>
    </row>
    <row r="662" ht="15.75" customHeight="1" s="21">
      <c r="A662" s="3" t="n"/>
      <c r="B662" s="3" t="n"/>
      <c r="C662" s="3" t="n"/>
      <c r="D662" s="3" t="n"/>
      <c r="E662" s="3" t="n"/>
      <c r="F662" s="3" t="n"/>
      <c r="G662" s="3" t="n"/>
      <c r="H662" s="3" t="n"/>
    </row>
    <row r="663" ht="15.75" customHeight="1" s="21">
      <c r="A663" s="3" t="n"/>
      <c r="B663" s="3" t="n"/>
      <c r="C663" s="3" t="n"/>
      <c r="D663" s="3" t="n"/>
      <c r="E663" s="3" t="n"/>
      <c r="F663" s="3" t="n"/>
      <c r="G663" s="3" t="n"/>
      <c r="H663" s="3" t="n"/>
    </row>
    <row r="664" ht="15.75" customHeight="1" s="21">
      <c r="A664" s="3" t="n"/>
      <c r="B664" s="3" t="n"/>
      <c r="C664" s="3" t="n"/>
      <c r="D664" s="3" t="n"/>
      <c r="E664" s="3" t="n"/>
      <c r="F664" s="3" t="n"/>
      <c r="G664" s="3" t="n"/>
      <c r="H664" s="3" t="n"/>
    </row>
    <row r="665" ht="15.75" customHeight="1" s="21">
      <c r="A665" s="3" t="n"/>
      <c r="B665" s="3" t="n"/>
      <c r="C665" s="3" t="n"/>
      <c r="D665" s="3" t="n"/>
      <c r="E665" s="3" t="n"/>
      <c r="F665" s="3" t="n"/>
      <c r="G665" s="3" t="n"/>
      <c r="H665" s="3" t="n"/>
    </row>
    <row r="666" ht="15.75" customHeight="1" s="21">
      <c r="A666" s="3" t="n"/>
      <c r="B666" s="3" t="n"/>
      <c r="C666" s="3" t="n"/>
      <c r="D666" s="3" t="n"/>
      <c r="E666" s="3" t="n"/>
      <c r="F666" s="3" t="n"/>
      <c r="G666" s="3" t="n"/>
      <c r="H666" s="3" t="n"/>
    </row>
    <row r="667" ht="15.75" customHeight="1" s="21">
      <c r="A667" s="3" t="n"/>
      <c r="B667" s="3" t="n"/>
      <c r="C667" s="3" t="n"/>
      <c r="D667" s="3" t="n"/>
      <c r="E667" s="3" t="n"/>
      <c r="F667" s="3" t="n"/>
      <c r="G667" s="3" t="n"/>
      <c r="H667" s="3" t="n"/>
    </row>
    <row r="668" ht="15.75" customHeight="1" s="21">
      <c r="A668" s="3" t="n"/>
      <c r="B668" s="3" t="n"/>
      <c r="C668" s="3" t="n"/>
      <c r="D668" s="3" t="n"/>
      <c r="E668" s="3" t="n"/>
      <c r="F668" s="3" t="n"/>
      <c r="G668" s="3" t="n"/>
      <c r="H668" s="3" t="n"/>
    </row>
    <row r="669" ht="15.75" customHeight="1" s="21">
      <c r="A669" s="3" t="n"/>
      <c r="B669" s="3" t="n"/>
      <c r="C669" s="3" t="n"/>
      <c r="D669" s="3" t="n"/>
      <c r="E669" s="3" t="n"/>
      <c r="F669" s="3" t="n"/>
      <c r="G669" s="3" t="n"/>
      <c r="H669" s="3" t="n"/>
    </row>
    <row r="670" ht="15.75" customHeight="1" s="21">
      <c r="A670" s="3" t="n"/>
      <c r="B670" s="3" t="n"/>
      <c r="C670" s="3" t="n"/>
      <c r="D670" s="3" t="n"/>
      <c r="E670" s="3" t="n"/>
      <c r="F670" s="3" t="n"/>
      <c r="G670" s="3" t="n"/>
      <c r="H670" s="3" t="n"/>
    </row>
    <row r="671" ht="15.75" customHeight="1" s="21">
      <c r="A671" s="3" t="n"/>
      <c r="B671" s="3" t="n"/>
      <c r="C671" s="3" t="n"/>
      <c r="D671" s="3" t="n"/>
      <c r="E671" s="3" t="n"/>
      <c r="F671" s="3" t="n"/>
      <c r="G671" s="3" t="n"/>
      <c r="H671" s="3" t="n"/>
    </row>
    <row r="672" ht="15.75" customHeight="1" s="21">
      <c r="A672" s="3" t="n"/>
      <c r="B672" s="3" t="n"/>
      <c r="C672" s="3" t="n"/>
      <c r="D672" s="3" t="n"/>
      <c r="E672" s="3" t="n"/>
      <c r="F672" s="3" t="n"/>
      <c r="G672" s="3" t="n"/>
      <c r="H672" s="3" t="n"/>
    </row>
    <row r="673" ht="15.75" customHeight="1" s="21">
      <c r="A673" s="3" t="n"/>
      <c r="B673" s="3" t="n"/>
      <c r="C673" s="3" t="n"/>
      <c r="D673" s="3" t="n"/>
      <c r="E673" s="3" t="n"/>
      <c r="F673" s="3" t="n"/>
      <c r="G673" s="3" t="n"/>
      <c r="H673" s="3" t="n"/>
    </row>
    <row r="674" ht="15.75" customHeight="1" s="21">
      <c r="A674" s="3" t="n"/>
      <c r="B674" s="3" t="n"/>
      <c r="C674" s="3" t="n"/>
      <c r="D674" s="3" t="n"/>
      <c r="E674" s="3" t="n"/>
      <c r="F674" s="3" t="n"/>
      <c r="G674" s="3" t="n"/>
      <c r="H674" s="3" t="n"/>
    </row>
    <row r="675" ht="15.75" customHeight="1" s="21">
      <c r="A675" s="3" t="n"/>
      <c r="B675" s="3" t="n"/>
      <c r="C675" s="3" t="n"/>
      <c r="D675" s="3" t="n"/>
      <c r="E675" s="3" t="n"/>
      <c r="F675" s="3" t="n"/>
      <c r="G675" s="3" t="n"/>
      <c r="H675" s="3" t="n"/>
    </row>
    <row r="676" ht="15.75" customHeight="1" s="21">
      <c r="A676" s="3" t="n"/>
      <c r="B676" s="3" t="n"/>
      <c r="C676" s="3" t="n"/>
      <c r="D676" s="3" t="n"/>
      <c r="E676" s="3" t="n"/>
      <c r="F676" s="3" t="n"/>
      <c r="G676" s="3" t="n"/>
      <c r="H676" s="3" t="n"/>
    </row>
    <row r="677" ht="15.75" customHeight="1" s="21">
      <c r="A677" s="3" t="n"/>
      <c r="B677" s="3" t="n"/>
      <c r="C677" s="3" t="n"/>
      <c r="D677" s="3" t="n"/>
      <c r="E677" s="3" t="n"/>
      <c r="F677" s="3" t="n"/>
      <c r="G677" s="3" t="n"/>
      <c r="H677" s="3" t="n"/>
    </row>
    <row r="678" ht="15.75" customHeight="1" s="21">
      <c r="A678" s="3" t="n"/>
      <c r="B678" s="3" t="n"/>
      <c r="C678" s="3" t="n"/>
      <c r="D678" s="3" t="n"/>
      <c r="E678" s="3" t="n"/>
      <c r="F678" s="3" t="n"/>
      <c r="G678" s="3" t="n"/>
      <c r="H678" s="3" t="n"/>
    </row>
    <row r="679" ht="15.75" customHeight="1" s="21">
      <c r="A679" s="3" t="n"/>
      <c r="B679" s="3" t="n"/>
      <c r="C679" s="3" t="n"/>
      <c r="D679" s="3" t="n"/>
      <c r="E679" s="3" t="n"/>
      <c r="F679" s="3" t="n"/>
      <c r="G679" s="3" t="n"/>
      <c r="H679" s="3" t="n"/>
    </row>
    <row r="680" ht="15.75" customHeight="1" s="21">
      <c r="A680" s="3" t="n"/>
      <c r="B680" s="3" t="n"/>
      <c r="C680" s="3" t="n"/>
      <c r="D680" s="3" t="n"/>
      <c r="E680" s="3" t="n"/>
      <c r="F680" s="3" t="n"/>
      <c r="G680" s="3" t="n"/>
      <c r="H680" s="3" t="n"/>
    </row>
    <row r="681" ht="15.75" customHeight="1" s="21">
      <c r="A681" s="3" t="n"/>
      <c r="B681" s="3" t="n"/>
      <c r="C681" s="3" t="n"/>
      <c r="D681" s="3" t="n"/>
      <c r="E681" s="3" t="n"/>
      <c r="F681" s="3" t="n"/>
      <c r="G681" s="3" t="n"/>
      <c r="H681" s="3" t="n"/>
    </row>
    <row r="682" ht="15.75" customHeight="1" s="21">
      <c r="A682" s="3" t="n"/>
      <c r="B682" s="3" t="n"/>
      <c r="C682" s="3" t="n"/>
      <c r="D682" s="3" t="n"/>
      <c r="E682" s="3" t="n"/>
      <c r="F682" s="3" t="n"/>
      <c r="G682" s="3" t="n"/>
      <c r="H682" s="3" t="n"/>
    </row>
    <row r="683" ht="15.75" customHeight="1" s="21">
      <c r="A683" s="3" t="n"/>
      <c r="B683" s="3" t="n"/>
      <c r="C683" s="3" t="n"/>
      <c r="D683" s="3" t="n"/>
      <c r="E683" s="3" t="n"/>
      <c r="F683" s="3" t="n"/>
      <c r="G683" s="3" t="n"/>
      <c r="H683" s="3" t="n"/>
    </row>
    <row r="684" ht="15.75" customHeight="1" s="21">
      <c r="A684" s="3" t="n"/>
      <c r="B684" s="3" t="n"/>
      <c r="C684" s="3" t="n"/>
      <c r="D684" s="3" t="n"/>
      <c r="E684" s="3" t="n"/>
      <c r="F684" s="3" t="n"/>
      <c r="G684" s="3" t="n"/>
      <c r="H684" s="3" t="n"/>
    </row>
    <row r="685" ht="15.75" customHeight="1" s="21">
      <c r="A685" s="3" t="n"/>
      <c r="B685" s="3" t="n"/>
      <c r="C685" s="3" t="n"/>
      <c r="D685" s="3" t="n"/>
      <c r="E685" s="3" t="n"/>
      <c r="F685" s="3" t="n"/>
      <c r="G685" s="3" t="n"/>
      <c r="H685" s="3" t="n"/>
    </row>
    <row r="686" ht="15.75" customHeight="1" s="21">
      <c r="A686" s="3" t="n"/>
      <c r="B686" s="3" t="n"/>
      <c r="C686" s="3" t="n"/>
      <c r="D686" s="3" t="n"/>
      <c r="E686" s="3" t="n"/>
      <c r="F686" s="3" t="n"/>
      <c r="G686" s="3" t="n"/>
      <c r="H686" s="3" t="n"/>
    </row>
    <row r="687" ht="15.75" customHeight="1" s="21">
      <c r="A687" s="3" t="n"/>
      <c r="B687" s="3" t="n"/>
      <c r="C687" s="3" t="n"/>
      <c r="D687" s="3" t="n"/>
      <c r="E687" s="3" t="n"/>
      <c r="F687" s="3" t="n"/>
      <c r="G687" s="3" t="n"/>
      <c r="H687" s="3" t="n"/>
    </row>
    <row r="688" ht="15.75" customHeight="1" s="21">
      <c r="A688" s="3" t="n"/>
      <c r="B688" s="3" t="n"/>
      <c r="C688" s="3" t="n"/>
      <c r="D688" s="3" t="n"/>
      <c r="E688" s="3" t="n"/>
      <c r="F688" s="3" t="n"/>
      <c r="G688" s="3" t="n"/>
      <c r="H688" s="3" t="n"/>
    </row>
    <row r="689" ht="15.75" customHeight="1" s="21">
      <c r="A689" s="3" t="n"/>
      <c r="B689" s="3" t="n"/>
      <c r="C689" s="3" t="n"/>
      <c r="D689" s="3" t="n"/>
      <c r="E689" s="3" t="n"/>
      <c r="F689" s="3" t="n"/>
      <c r="G689" s="3" t="n"/>
      <c r="H689" s="3" t="n"/>
    </row>
    <row r="690" ht="15.75" customHeight="1" s="21">
      <c r="A690" s="3" t="n"/>
      <c r="B690" s="3" t="n"/>
      <c r="C690" s="3" t="n"/>
      <c r="D690" s="3" t="n"/>
      <c r="E690" s="3" t="n"/>
      <c r="F690" s="3" t="n"/>
      <c r="G690" s="3" t="n"/>
      <c r="H690" s="3" t="n"/>
    </row>
    <row r="691" ht="15.75" customHeight="1" s="21">
      <c r="A691" s="3" t="n"/>
      <c r="B691" s="3" t="n"/>
      <c r="C691" s="3" t="n"/>
      <c r="D691" s="3" t="n"/>
      <c r="E691" s="3" t="n"/>
      <c r="F691" s="3" t="n"/>
      <c r="G691" s="3" t="n"/>
      <c r="H691" s="3" t="n"/>
    </row>
    <row r="692" ht="15.75" customHeight="1" s="21">
      <c r="A692" s="3" t="n"/>
      <c r="B692" s="3" t="n"/>
      <c r="C692" s="3" t="n"/>
      <c r="D692" s="3" t="n"/>
      <c r="E692" s="3" t="n"/>
      <c r="F692" s="3" t="n"/>
      <c r="G692" s="3" t="n"/>
      <c r="H692" s="3" t="n"/>
    </row>
    <row r="693" ht="15.75" customHeight="1" s="21">
      <c r="A693" s="3" t="n"/>
      <c r="B693" s="3" t="n"/>
      <c r="C693" s="3" t="n"/>
      <c r="D693" s="3" t="n"/>
      <c r="E693" s="3" t="n"/>
      <c r="F693" s="3" t="n"/>
      <c r="G693" s="3" t="n"/>
      <c r="H693" s="3" t="n"/>
    </row>
    <row r="694" ht="15.75" customHeight="1" s="21">
      <c r="A694" s="3" t="n"/>
      <c r="B694" s="3" t="n"/>
      <c r="C694" s="3" t="n"/>
      <c r="D694" s="3" t="n"/>
      <c r="E694" s="3" t="n"/>
      <c r="F694" s="3" t="n"/>
      <c r="G694" s="3" t="n"/>
      <c r="H694" s="3" t="n"/>
    </row>
    <row r="695" ht="15.75" customHeight="1" s="21">
      <c r="A695" s="3" t="n"/>
      <c r="B695" s="3" t="n"/>
      <c r="C695" s="3" t="n"/>
      <c r="D695" s="3" t="n"/>
      <c r="E695" s="3" t="n"/>
      <c r="F695" s="3" t="n"/>
      <c r="G695" s="3" t="n"/>
      <c r="H695" s="3" t="n"/>
    </row>
    <row r="696" ht="15.75" customHeight="1" s="21">
      <c r="A696" s="3" t="n"/>
      <c r="B696" s="3" t="n"/>
      <c r="C696" s="3" t="n"/>
      <c r="D696" s="3" t="n"/>
      <c r="E696" s="3" t="n"/>
      <c r="F696" s="3" t="n"/>
      <c r="G696" s="3" t="n"/>
      <c r="H696" s="3" t="n"/>
    </row>
    <row r="697" ht="15.75" customHeight="1" s="21">
      <c r="A697" s="3" t="n"/>
      <c r="B697" s="3" t="n"/>
      <c r="C697" s="3" t="n"/>
      <c r="D697" s="3" t="n"/>
      <c r="E697" s="3" t="n"/>
      <c r="F697" s="3" t="n"/>
      <c r="G697" s="3" t="n"/>
      <c r="H697" s="3" t="n"/>
    </row>
    <row r="698" ht="15.75" customHeight="1" s="21">
      <c r="A698" s="3" t="n"/>
      <c r="B698" s="3" t="n"/>
      <c r="C698" s="3" t="n"/>
      <c r="D698" s="3" t="n"/>
      <c r="E698" s="3" t="n"/>
      <c r="F698" s="3" t="n"/>
      <c r="G698" s="3" t="n"/>
      <c r="H698" s="3" t="n"/>
    </row>
    <row r="699" ht="15.75" customHeight="1" s="21">
      <c r="A699" s="3" t="n"/>
      <c r="B699" s="3" t="n"/>
      <c r="C699" s="3" t="n"/>
      <c r="D699" s="3" t="n"/>
      <c r="E699" s="3" t="n"/>
      <c r="F699" s="3" t="n"/>
      <c r="G699" s="3" t="n"/>
      <c r="H699" s="3" t="n"/>
    </row>
    <row r="700" ht="15.75" customHeight="1" s="21">
      <c r="A700" s="3" t="n"/>
      <c r="B700" s="3" t="n"/>
      <c r="C700" s="3" t="n"/>
      <c r="D700" s="3" t="n"/>
      <c r="E700" s="3" t="n"/>
      <c r="F700" s="3" t="n"/>
      <c r="G700" s="3" t="n"/>
      <c r="H700" s="3" t="n"/>
    </row>
    <row r="701" ht="15.75" customHeight="1" s="21">
      <c r="A701" s="3" t="n"/>
      <c r="B701" s="3" t="n"/>
      <c r="C701" s="3" t="n"/>
      <c r="D701" s="3" t="n"/>
      <c r="E701" s="3" t="n"/>
      <c r="F701" s="3" t="n"/>
      <c r="G701" s="3" t="n"/>
      <c r="H701" s="3" t="n"/>
    </row>
    <row r="702" ht="15.75" customHeight="1" s="21">
      <c r="A702" s="3" t="n"/>
      <c r="B702" s="3" t="n"/>
      <c r="C702" s="3" t="n"/>
      <c r="D702" s="3" t="n"/>
      <c r="E702" s="3" t="n"/>
      <c r="F702" s="3" t="n"/>
      <c r="G702" s="3" t="n"/>
      <c r="H702" s="3" t="n"/>
    </row>
    <row r="703" ht="15.75" customHeight="1" s="21">
      <c r="A703" s="3" t="n"/>
      <c r="B703" s="3" t="n"/>
      <c r="C703" s="3" t="n"/>
      <c r="D703" s="3" t="n"/>
      <c r="E703" s="3" t="n"/>
      <c r="F703" s="3" t="n"/>
      <c r="G703" s="3" t="n"/>
      <c r="H703" s="3" t="n"/>
    </row>
    <row r="704" ht="15.75" customHeight="1" s="21">
      <c r="A704" s="3" t="n"/>
      <c r="B704" s="3" t="n"/>
      <c r="C704" s="3" t="n"/>
      <c r="D704" s="3" t="n"/>
      <c r="E704" s="3" t="n"/>
      <c r="F704" s="3" t="n"/>
      <c r="G704" s="3" t="n"/>
      <c r="H704" s="3" t="n"/>
    </row>
    <row r="705" ht="15.75" customHeight="1" s="21">
      <c r="A705" s="3" t="n"/>
      <c r="B705" s="3" t="n"/>
      <c r="C705" s="3" t="n"/>
      <c r="D705" s="3" t="n"/>
      <c r="E705" s="3" t="n"/>
      <c r="F705" s="3" t="n"/>
      <c r="G705" s="3" t="n"/>
      <c r="H705" s="3" t="n"/>
    </row>
    <row r="706" ht="15.75" customHeight="1" s="21">
      <c r="A706" s="3" t="n"/>
      <c r="B706" s="3" t="n"/>
      <c r="C706" s="3" t="n"/>
      <c r="D706" s="3" t="n"/>
      <c r="E706" s="3" t="n"/>
      <c r="F706" s="3" t="n"/>
      <c r="G706" s="3" t="n"/>
      <c r="H706" s="3" t="n"/>
    </row>
    <row r="707" ht="15.75" customHeight="1" s="21">
      <c r="A707" s="3" t="n"/>
      <c r="B707" s="3" t="n"/>
      <c r="C707" s="3" t="n"/>
      <c r="D707" s="3" t="n"/>
      <c r="E707" s="3" t="n"/>
      <c r="F707" s="3" t="n"/>
      <c r="G707" s="3" t="n"/>
      <c r="H707" s="3" t="n"/>
    </row>
    <row r="708" ht="15.75" customHeight="1" s="21">
      <c r="A708" s="3" t="n"/>
      <c r="B708" s="3" t="n"/>
      <c r="C708" s="3" t="n"/>
      <c r="D708" s="3" t="n"/>
      <c r="E708" s="3" t="n"/>
      <c r="F708" s="3" t="n"/>
      <c r="G708" s="3" t="n"/>
      <c r="H708" s="3" t="n"/>
    </row>
    <row r="709" ht="15.75" customHeight="1" s="21">
      <c r="A709" s="3" t="n"/>
      <c r="B709" s="3" t="n"/>
      <c r="C709" s="3" t="n"/>
      <c r="D709" s="3" t="n"/>
      <c r="E709" s="3" t="n"/>
      <c r="F709" s="3" t="n"/>
      <c r="G709" s="3" t="n"/>
      <c r="H709" s="3" t="n"/>
    </row>
    <row r="710" ht="15.75" customHeight="1" s="21">
      <c r="A710" s="3" t="n"/>
      <c r="B710" s="3" t="n"/>
      <c r="C710" s="3" t="n"/>
      <c r="D710" s="3" t="n"/>
      <c r="E710" s="3" t="n"/>
      <c r="F710" s="3" t="n"/>
      <c r="G710" s="3" t="n"/>
      <c r="H710" s="3" t="n"/>
    </row>
    <row r="711" ht="15.75" customHeight="1" s="21">
      <c r="A711" s="3" t="n"/>
      <c r="B711" s="3" t="n"/>
      <c r="C711" s="3" t="n"/>
      <c r="D711" s="3" t="n"/>
      <c r="E711" s="3" t="n"/>
      <c r="F711" s="3" t="n"/>
      <c r="G711" s="3" t="n"/>
      <c r="H711" s="3" t="n"/>
    </row>
    <row r="712" ht="15.75" customHeight="1" s="21">
      <c r="A712" s="3" t="n"/>
      <c r="B712" s="3" t="n"/>
      <c r="C712" s="3" t="n"/>
      <c r="D712" s="3" t="n"/>
      <c r="E712" s="3" t="n"/>
      <c r="F712" s="3" t="n"/>
      <c r="G712" s="3" t="n"/>
      <c r="H712" s="3" t="n"/>
    </row>
    <row r="713" ht="15.75" customHeight="1" s="21">
      <c r="A713" s="3" t="n"/>
      <c r="B713" s="3" t="n"/>
      <c r="C713" s="3" t="n"/>
      <c r="D713" s="3" t="n"/>
      <c r="E713" s="3" t="n"/>
      <c r="F713" s="3" t="n"/>
      <c r="G713" s="3" t="n"/>
      <c r="H713" s="3" t="n"/>
    </row>
    <row r="714" ht="15.75" customHeight="1" s="21">
      <c r="A714" s="3" t="n"/>
      <c r="B714" s="3" t="n"/>
      <c r="C714" s="3" t="n"/>
      <c r="D714" s="3" t="n"/>
      <c r="E714" s="3" t="n"/>
      <c r="F714" s="3" t="n"/>
      <c r="G714" s="3" t="n"/>
      <c r="H714" s="3" t="n"/>
    </row>
    <row r="715" ht="15.75" customHeight="1" s="21">
      <c r="A715" s="3" t="n"/>
      <c r="B715" s="3" t="n"/>
      <c r="C715" s="3" t="n"/>
      <c r="D715" s="3" t="n"/>
      <c r="E715" s="3" t="n"/>
      <c r="F715" s="3" t="n"/>
      <c r="G715" s="3" t="n"/>
      <c r="H715" s="3" t="n"/>
    </row>
    <row r="716" ht="15.75" customHeight="1" s="21">
      <c r="A716" s="3" t="n"/>
      <c r="B716" s="3" t="n"/>
      <c r="C716" s="3" t="n"/>
      <c r="D716" s="3" t="n"/>
      <c r="E716" s="3" t="n"/>
      <c r="F716" s="3" t="n"/>
      <c r="G716" s="3" t="n"/>
      <c r="H716" s="3" t="n"/>
    </row>
    <row r="717" ht="15.75" customHeight="1" s="21">
      <c r="A717" s="3" t="n"/>
      <c r="B717" s="3" t="n"/>
      <c r="C717" s="3" t="n"/>
      <c r="D717" s="3" t="n"/>
      <c r="E717" s="3" t="n"/>
      <c r="F717" s="3" t="n"/>
      <c r="G717" s="3" t="n"/>
      <c r="H717" s="3" t="n"/>
    </row>
    <row r="718" ht="15.75" customHeight="1" s="21">
      <c r="A718" s="3" t="n"/>
      <c r="B718" s="3" t="n"/>
      <c r="C718" s="3" t="n"/>
      <c r="D718" s="3" t="n"/>
      <c r="E718" s="3" t="n"/>
      <c r="F718" s="3" t="n"/>
      <c r="G718" s="3" t="n"/>
      <c r="H718" s="3" t="n"/>
    </row>
    <row r="719" ht="15.75" customHeight="1" s="21">
      <c r="A719" s="3" t="n"/>
      <c r="B719" s="3" t="n"/>
      <c r="C719" s="3" t="n"/>
      <c r="D719" s="3" t="n"/>
      <c r="E719" s="3" t="n"/>
      <c r="F719" s="3" t="n"/>
      <c r="G719" s="3" t="n"/>
      <c r="H719" s="3" t="n"/>
    </row>
    <row r="720" ht="15.75" customHeight="1" s="21">
      <c r="A720" s="3" t="n"/>
      <c r="B720" s="3" t="n"/>
      <c r="C720" s="3" t="n"/>
      <c r="D720" s="3" t="n"/>
      <c r="E720" s="3" t="n"/>
      <c r="F720" s="3" t="n"/>
      <c r="G720" s="3" t="n"/>
      <c r="H720" s="3" t="n"/>
    </row>
    <row r="721" ht="15.75" customHeight="1" s="21">
      <c r="A721" s="3" t="n"/>
      <c r="B721" s="3" t="n"/>
      <c r="C721" s="3" t="n"/>
      <c r="D721" s="3" t="n"/>
      <c r="E721" s="3" t="n"/>
      <c r="F721" s="3" t="n"/>
      <c r="G721" s="3" t="n"/>
      <c r="H721" s="3" t="n"/>
    </row>
    <row r="722" ht="15.75" customHeight="1" s="21">
      <c r="A722" s="3" t="n"/>
      <c r="B722" s="3" t="n"/>
      <c r="C722" s="3" t="n"/>
      <c r="D722" s="3" t="n"/>
      <c r="E722" s="3" t="n"/>
      <c r="F722" s="3" t="n"/>
      <c r="G722" s="3" t="n"/>
      <c r="H722" s="3" t="n"/>
    </row>
    <row r="723" ht="15.75" customHeight="1" s="21">
      <c r="A723" s="3" t="n"/>
      <c r="B723" s="3" t="n"/>
      <c r="C723" s="3" t="n"/>
      <c r="D723" s="3" t="n"/>
      <c r="E723" s="3" t="n"/>
      <c r="F723" s="3" t="n"/>
      <c r="G723" s="3" t="n"/>
      <c r="H723" s="3" t="n"/>
    </row>
    <row r="724" ht="15.75" customHeight="1" s="21">
      <c r="A724" s="3" t="n"/>
      <c r="B724" s="3" t="n"/>
      <c r="C724" s="3" t="n"/>
      <c r="D724" s="3" t="n"/>
      <c r="E724" s="3" t="n"/>
      <c r="F724" s="3" t="n"/>
      <c r="G724" s="3" t="n"/>
      <c r="H724" s="3" t="n"/>
    </row>
    <row r="725" ht="15.75" customHeight="1" s="21">
      <c r="A725" s="3" t="n"/>
      <c r="B725" s="3" t="n"/>
      <c r="C725" s="3" t="n"/>
      <c r="D725" s="3" t="n"/>
      <c r="E725" s="3" t="n"/>
      <c r="F725" s="3" t="n"/>
      <c r="G725" s="3" t="n"/>
      <c r="H725" s="3" t="n"/>
    </row>
    <row r="726" ht="15.75" customHeight="1" s="21">
      <c r="A726" s="3" t="n"/>
      <c r="B726" s="3" t="n"/>
      <c r="C726" s="3" t="n"/>
      <c r="D726" s="3" t="n"/>
      <c r="E726" s="3" t="n"/>
      <c r="F726" s="3" t="n"/>
      <c r="G726" s="3" t="n"/>
      <c r="H726" s="3" t="n"/>
    </row>
    <row r="727" ht="15.75" customHeight="1" s="21">
      <c r="A727" s="3" t="n"/>
      <c r="B727" s="3" t="n"/>
      <c r="C727" s="3" t="n"/>
      <c r="D727" s="3" t="n"/>
      <c r="E727" s="3" t="n"/>
      <c r="F727" s="3" t="n"/>
      <c r="G727" s="3" t="n"/>
      <c r="H727" s="3" t="n"/>
    </row>
    <row r="728" ht="15.75" customHeight="1" s="21">
      <c r="A728" s="3" t="n"/>
      <c r="B728" s="3" t="n"/>
      <c r="C728" s="3" t="n"/>
      <c r="D728" s="3" t="n"/>
      <c r="E728" s="3" t="n"/>
      <c r="F728" s="3" t="n"/>
      <c r="G728" s="3" t="n"/>
      <c r="H728" s="3" t="n"/>
    </row>
    <row r="729" ht="15.75" customHeight="1" s="21">
      <c r="A729" s="3" t="n"/>
      <c r="B729" s="3" t="n"/>
      <c r="C729" s="3" t="n"/>
      <c r="D729" s="3" t="n"/>
      <c r="E729" s="3" t="n"/>
      <c r="F729" s="3" t="n"/>
      <c r="G729" s="3" t="n"/>
      <c r="H729" s="3" t="n"/>
    </row>
    <row r="730" ht="15.75" customHeight="1" s="21">
      <c r="A730" s="3" t="n"/>
      <c r="B730" s="3" t="n"/>
      <c r="C730" s="3" t="n"/>
      <c r="D730" s="3" t="n"/>
      <c r="E730" s="3" t="n"/>
      <c r="F730" s="3" t="n"/>
      <c r="G730" s="3" t="n"/>
      <c r="H730" s="3" t="n"/>
    </row>
    <row r="731" ht="15.75" customHeight="1" s="21">
      <c r="A731" s="3" t="n"/>
      <c r="B731" s="3" t="n"/>
      <c r="C731" s="3" t="n"/>
      <c r="D731" s="3" t="n"/>
      <c r="E731" s="3" t="n"/>
      <c r="F731" s="3" t="n"/>
      <c r="G731" s="3" t="n"/>
      <c r="H731" s="3" t="n"/>
    </row>
    <row r="732" ht="15.75" customHeight="1" s="21">
      <c r="A732" s="3" t="n"/>
      <c r="B732" s="3" t="n"/>
      <c r="C732" s="3" t="n"/>
      <c r="D732" s="3" t="n"/>
      <c r="E732" s="3" t="n"/>
      <c r="F732" s="3" t="n"/>
      <c r="G732" s="3" t="n"/>
      <c r="H732" s="3" t="n"/>
    </row>
    <row r="733" ht="15.75" customHeight="1" s="21">
      <c r="A733" s="3" t="n"/>
      <c r="B733" s="3" t="n"/>
      <c r="C733" s="3" t="n"/>
      <c r="D733" s="3" t="n"/>
      <c r="E733" s="3" t="n"/>
      <c r="F733" s="3" t="n"/>
      <c r="G733" s="3" t="n"/>
      <c r="H733" s="3" t="n"/>
    </row>
    <row r="734" ht="15.75" customHeight="1" s="21">
      <c r="A734" s="3" t="n"/>
      <c r="B734" s="3" t="n"/>
      <c r="C734" s="3" t="n"/>
      <c r="D734" s="3" t="n"/>
      <c r="E734" s="3" t="n"/>
      <c r="F734" s="3" t="n"/>
      <c r="G734" s="3" t="n"/>
      <c r="H734" s="3" t="n"/>
    </row>
    <row r="735" ht="15.75" customHeight="1" s="21">
      <c r="A735" s="3" t="n"/>
      <c r="B735" s="3" t="n"/>
      <c r="C735" s="3" t="n"/>
      <c r="D735" s="3" t="n"/>
      <c r="E735" s="3" t="n"/>
      <c r="F735" s="3" t="n"/>
      <c r="G735" s="3" t="n"/>
      <c r="H735" s="3" t="n"/>
    </row>
    <row r="736" ht="15.75" customHeight="1" s="21">
      <c r="A736" s="3" t="n"/>
      <c r="B736" s="3" t="n"/>
      <c r="C736" s="3" t="n"/>
      <c r="D736" s="3" t="n"/>
      <c r="E736" s="3" t="n"/>
      <c r="F736" s="3" t="n"/>
      <c r="G736" s="3" t="n"/>
      <c r="H736" s="3" t="n"/>
    </row>
    <row r="737" ht="15.75" customHeight="1" s="21">
      <c r="A737" s="3" t="n"/>
      <c r="B737" s="3" t="n"/>
      <c r="C737" s="3" t="n"/>
      <c r="D737" s="3" t="n"/>
      <c r="E737" s="3" t="n"/>
      <c r="F737" s="3" t="n"/>
      <c r="G737" s="3" t="n"/>
      <c r="H737" s="3" t="n"/>
    </row>
    <row r="738" ht="15.75" customHeight="1" s="21">
      <c r="A738" s="3" t="n"/>
      <c r="B738" s="3" t="n"/>
      <c r="C738" s="3" t="n"/>
      <c r="D738" s="3" t="n"/>
      <c r="E738" s="3" t="n"/>
      <c r="F738" s="3" t="n"/>
      <c r="G738" s="3" t="n"/>
      <c r="H738" s="3" t="n"/>
    </row>
    <row r="739" ht="15.75" customHeight="1" s="21">
      <c r="A739" s="3" t="n"/>
      <c r="B739" s="3" t="n"/>
      <c r="C739" s="3" t="n"/>
      <c r="D739" s="3" t="n"/>
      <c r="E739" s="3" t="n"/>
      <c r="F739" s="3" t="n"/>
      <c r="G739" s="3" t="n"/>
      <c r="H739" s="3" t="n"/>
    </row>
    <row r="740" ht="15.75" customHeight="1" s="21">
      <c r="A740" s="3" t="n"/>
      <c r="B740" s="3" t="n"/>
      <c r="C740" s="3" t="n"/>
      <c r="D740" s="3" t="n"/>
      <c r="E740" s="3" t="n"/>
      <c r="F740" s="3" t="n"/>
      <c r="G740" s="3" t="n"/>
      <c r="H740" s="3" t="n"/>
    </row>
    <row r="741" ht="15.75" customHeight="1" s="21">
      <c r="A741" s="3" t="n"/>
      <c r="B741" s="3" t="n"/>
      <c r="C741" s="3" t="n"/>
      <c r="D741" s="3" t="n"/>
      <c r="E741" s="3" t="n"/>
      <c r="F741" s="3" t="n"/>
      <c r="G741" s="3" t="n"/>
      <c r="H741" s="3" t="n"/>
    </row>
    <row r="742" ht="15.75" customHeight="1" s="21">
      <c r="A742" s="3" t="n"/>
      <c r="B742" s="3" t="n"/>
      <c r="C742" s="3" t="n"/>
      <c r="D742" s="3" t="n"/>
      <c r="E742" s="3" t="n"/>
      <c r="F742" s="3" t="n"/>
      <c r="G742" s="3" t="n"/>
      <c r="H742" s="3" t="n"/>
    </row>
    <row r="743" ht="15.75" customHeight="1" s="21">
      <c r="A743" s="3" t="n"/>
      <c r="B743" s="3" t="n"/>
      <c r="C743" s="3" t="n"/>
      <c r="D743" s="3" t="n"/>
      <c r="E743" s="3" t="n"/>
      <c r="F743" s="3" t="n"/>
      <c r="G743" s="3" t="n"/>
      <c r="H743" s="3" t="n"/>
    </row>
    <row r="744" ht="15.75" customHeight="1" s="21">
      <c r="A744" s="3" t="n"/>
      <c r="B744" s="3" t="n"/>
      <c r="C744" s="3" t="n"/>
      <c r="D744" s="3" t="n"/>
      <c r="E744" s="3" t="n"/>
      <c r="F744" s="3" t="n"/>
      <c r="G744" s="3" t="n"/>
      <c r="H744" s="3" t="n"/>
    </row>
    <row r="745" ht="15.75" customHeight="1" s="21">
      <c r="A745" s="3" t="n"/>
      <c r="B745" s="3" t="n"/>
      <c r="C745" s="3" t="n"/>
      <c r="D745" s="3" t="n"/>
      <c r="E745" s="3" t="n"/>
      <c r="F745" s="3" t="n"/>
      <c r="G745" s="3" t="n"/>
      <c r="H745" s="3" t="n"/>
    </row>
    <row r="746" ht="15.75" customHeight="1" s="21">
      <c r="A746" s="3" t="n"/>
      <c r="B746" s="3" t="n"/>
      <c r="C746" s="3" t="n"/>
      <c r="D746" s="3" t="n"/>
      <c r="E746" s="3" t="n"/>
      <c r="F746" s="3" t="n"/>
      <c r="G746" s="3" t="n"/>
      <c r="H746" s="3" t="n"/>
    </row>
    <row r="747" ht="15.75" customHeight="1" s="21">
      <c r="A747" s="3" t="n"/>
      <c r="B747" s="3" t="n"/>
      <c r="C747" s="3" t="n"/>
      <c r="D747" s="3" t="n"/>
      <c r="E747" s="3" t="n"/>
      <c r="F747" s="3" t="n"/>
      <c r="G747" s="3" t="n"/>
      <c r="H747" s="3" t="n"/>
    </row>
    <row r="748" ht="15.75" customHeight="1" s="21">
      <c r="A748" s="3" t="n"/>
      <c r="B748" s="3" t="n"/>
      <c r="C748" s="3" t="n"/>
      <c r="D748" s="3" t="n"/>
      <c r="E748" s="3" t="n"/>
      <c r="F748" s="3" t="n"/>
      <c r="G748" s="3" t="n"/>
      <c r="H748" s="3" t="n"/>
    </row>
    <row r="749" ht="15.75" customHeight="1" s="21">
      <c r="A749" s="3" t="n"/>
      <c r="B749" s="3" t="n"/>
      <c r="C749" s="3" t="n"/>
      <c r="D749" s="3" t="n"/>
      <c r="E749" s="3" t="n"/>
      <c r="F749" s="3" t="n"/>
      <c r="G749" s="3" t="n"/>
      <c r="H749" s="3" t="n"/>
    </row>
    <row r="750" ht="15.75" customHeight="1" s="21">
      <c r="A750" s="3" t="n"/>
      <c r="B750" s="3" t="n"/>
      <c r="C750" s="3" t="n"/>
      <c r="D750" s="3" t="n"/>
      <c r="E750" s="3" t="n"/>
      <c r="F750" s="3" t="n"/>
      <c r="G750" s="3" t="n"/>
      <c r="H750" s="3" t="n"/>
    </row>
    <row r="751" ht="15.75" customHeight="1" s="21">
      <c r="A751" s="3" t="n"/>
      <c r="B751" s="3" t="n"/>
      <c r="C751" s="3" t="n"/>
      <c r="D751" s="3" t="n"/>
      <c r="E751" s="3" t="n"/>
      <c r="F751" s="3" t="n"/>
      <c r="G751" s="3" t="n"/>
      <c r="H751" s="3" t="n"/>
    </row>
    <row r="752" ht="15.75" customHeight="1" s="21">
      <c r="A752" s="3" t="n"/>
      <c r="B752" s="3" t="n"/>
      <c r="C752" s="3" t="n"/>
      <c r="D752" s="3" t="n"/>
      <c r="E752" s="3" t="n"/>
      <c r="F752" s="3" t="n"/>
      <c r="G752" s="3" t="n"/>
      <c r="H752" s="3" t="n"/>
    </row>
    <row r="753" ht="15.75" customHeight="1" s="21">
      <c r="A753" s="3" t="n"/>
      <c r="B753" s="3" t="n"/>
      <c r="C753" s="3" t="n"/>
      <c r="D753" s="3" t="n"/>
      <c r="E753" s="3" t="n"/>
      <c r="F753" s="3" t="n"/>
      <c r="G753" s="3" t="n"/>
      <c r="H753" s="3" t="n"/>
    </row>
    <row r="754" ht="15.75" customHeight="1" s="21">
      <c r="A754" s="3" t="n"/>
      <c r="B754" s="3" t="n"/>
      <c r="C754" s="3" t="n"/>
      <c r="D754" s="3" t="n"/>
      <c r="E754" s="3" t="n"/>
      <c r="F754" s="3" t="n"/>
      <c r="G754" s="3" t="n"/>
      <c r="H754" s="3" t="n"/>
    </row>
    <row r="755" ht="15.75" customHeight="1" s="21">
      <c r="A755" s="3" t="n"/>
      <c r="B755" s="3" t="n"/>
      <c r="C755" s="3" t="n"/>
      <c r="D755" s="3" t="n"/>
      <c r="E755" s="3" t="n"/>
      <c r="F755" s="3" t="n"/>
      <c r="G755" s="3" t="n"/>
      <c r="H755" s="3" t="n"/>
    </row>
    <row r="756" ht="15.75" customHeight="1" s="21">
      <c r="A756" s="3" t="n"/>
      <c r="B756" s="3" t="n"/>
      <c r="C756" s="3" t="n"/>
      <c r="D756" s="3" t="n"/>
      <c r="E756" s="3" t="n"/>
      <c r="F756" s="3" t="n"/>
      <c r="G756" s="3" t="n"/>
      <c r="H756" s="3" t="n"/>
    </row>
    <row r="757" ht="15.75" customHeight="1" s="21">
      <c r="A757" s="3" t="n"/>
      <c r="B757" s="3" t="n"/>
      <c r="C757" s="3" t="n"/>
      <c r="D757" s="3" t="n"/>
      <c r="E757" s="3" t="n"/>
      <c r="F757" s="3" t="n"/>
      <c r="G757" s="3" t="n"/>
      <c r="H757" s="3" t="n"/>
    </row>
    <row r="758" ht="15.75" customHeight="1" s="21">
      <c r="A758" s="3" t="n"/>
      <c r="B758" s="3" t="n"/>
      <c r="C758" s="3" t="n"/>
      <c r="D758" s="3" t="n"/>
      <c r="E758" s="3" t="n"/>
      <c r="F758" s="3" t="n"/>
      <c r="G758" s="3" t="n"/>
      <c r="H758" s="3" t="n"/>
    </row>
    <row r="759" ht="15.75" customHeight="1" s="21">
      <c r="A759" s="3" t="n"/>
      <c r="B759" s="3" t="n"/>
      <c r="C759" s="3" t="n"/>
      <c r="D759" s="3" t="n"/>
      <c r="E759" s="3" t="n"/>
      <c r="F759" s="3" t="n"/>
      <c r="G759" s="3" t="n"/>
      <c r="H759" s="3" t="n"/>
    </row>
    <row r="760" ht="15.75" customHeight="1" s="21">
      <c r="A760" s="3" t="n"/>
      <c r="B760" s="3" t="n"/>
      <c r="C760" s="3" t="n"/>
      <c r="D760" s="3" t="n"/>
      <c r="E760" s="3" t="n"/>
      <c r="F760" s="3" t="n"/>
      <c r="G760" s="3" t="n"/>
      <c r="H760" s="3" t="n"/>
    </row>
    <row r="761" ht="15.75" customHeight="1" s="21">
      <c r="A761" s="3" t="n"/>
      <c r="B761" s="3" t="n"/>
      <c r="C761" s="3" t="n"/>
      <c r="D761" s="3" t="n"/>
      <c r="E761" s="3" t="n"/>
      <c r="F761" s="3" t="n"/>
      <c r="G761" s="3" t="n"/>
      <c r="H761" s="3" t="n"/>
    </row>
    <row r="762" ht="15.75" customHeight="1" s="21">
      <c r="A762" s="3" t="n"/>
      <c r="B762" s="3" t="n"/>
      <c r="C762" s="3" t="n"/>
      <c r="D762" s="3" t="n"/>
      <c r="E762" s="3" t="n"/>
      <c r="F762" s="3" t="n"/>
      <c r="G762" s="3" t="n"/>
      <c r="H762" s="3" t="n"/>
    </row>
    <row r="763" ht="15.75" customHeight="1" s="21">
      <c r="A763" s="3" t="n"/>
      <c r="B763" s="3" t="n"/>
      <c r="C763" s="3" t="n"/>
      <c r="D763" s="3" t="n"/>
      <c r="E763" s="3" t="n"/>
      <c r="F763" s="3" t="n"/>
      <c r="G763" s="3" t="n"/>
      <c r="H763" s="3" t="n"/>
    </row>
    <row r="764" ht="15.75" customHeight="1" s="21">
      <c r="A764" s="3" t="n"/>
      <c r="B764" s="3" t="n"/>
      <c r="C764" s="3" t="n"/>
      <c r="D764" s="3" t="n"/>
      <c r="E764" s="3" t="n"/>
      <c r="F764" s="3" t="n"/>
      <c r="G764" s="3" t="n"/>
      <c r="H764" s="3" t="n"/>
    </row>
    <row r="765" ht="15.75" customHeight="1" s="21">
      <c r="A765" s="3" t="n"/>
      <c r="B765" s="3" t="n"/>
      <c r="C765" s="3" t="n"/>
      <c r="D765" s="3" t="n"/>
      <c r="E765" s="3" t="n"/>
      <c r="F765" s="3" t="n"/>
      <c r="G765" s="3" t="n"/>
      <c r="H765" s="3" t="n"/>
    </row>
    <row r="766" ht="15.75" customHeight="1" s="21">
      <c r="A766" s="3" t="n"/>
      <c r="B766" s="3" t="n"/>
      <c r="C766" s="3" t="n"/>
      <c r="D766" s="3" t="n"/>
      <c r="E766" s="3" t="n"/>
      <c r="F766" s="3" t="n"/>
      <c r="G766" s="3" t="n"/>
      <c r="H766" s="3" t="n"/>
    </row>
    <row r="767" ht="15.75" customHeight="1" s="21">
      <c r="A767" s="3" t="n"/>
      <c r="B767" s="3" t="n"/>
      <c r="C767" s="3" t="n"/>
      <c r="D767" s="3" t="n"/>
      <c r="E767" s="3" t="n"/>
      <c r="F767" s="3" t="n"/>
      <c r="G767" s="3" t="n"/>
      <c r="H767" s="3" t="n"/>
    </row>
    <row r="768" ht="15.75" customHeight="1" s="21">
      <c r="A768" s="3" t="n"/>
      <c r="B768" s="3" t="n"/>
      <c r="C768" s="3" t="n"/>
      <c r="D768" s="3" t="n"/>
      <c r="E768" s="3" t="n"/>
      <c r="F768" s="3" t="n"/>
      <c r="G768" s="3" t="n"/>
      <c r="H768" s="3" t="n"/>
    </row>
    <row r="769" ht="15.75" customHeight="1" s="21">
      <c r="A769" s="3" t="n"/>
      <c r="B769" s="3" t="n"/>
      <c r="C769" s="3" t="n"/>
      <c r="D769" s="3" t="n"/>
      <c r="E769" s="3" t="n"/>
      <c r="F769" s="3" t="n"/>
      <c r="G769" s="3" t="n"/>
      <c r="H769" s="3" t="n"/>
    </row>
    <row r="770" ht="15.75" customHeight="1" s="21">
      <c r="A770" s="3" t="n"/>
      <c r="B770" s="3" t="n"/>
      <c r="C770" s="3" t="n"/>
      <c r="D770" s="3" t="n"/>
      <c r="E770" s="3" t="n"/>
      <c r="F770" s="3" t="n"/>
      <c r="G770" s="3" t="n"/>
      <c r="H770" s="3" t="n"/>
    </row>
    <row r="771" ht="15.75" customHeight="1" s="21">
      <c r="A771" s="3" t="n"/>
      <c r="B771" s="3" t="n"/>
      <c r="C771" s="3" t="n"/>
      <c r="D771" s="3" t="n"/>
      <c r="E771" s="3" t="n"/>
      <c r="F771" s="3" t="n"/>
      <c r="G771" s="3" t="n"/>
      <c r="H771" s="3" t="n"/>
    </row>
    <row r="772" ht="15.75" customHeight="1" s="21">
      <c r="A772" s="3" t="n"/>
      <c r="B772" s="3" t="n"/>
      <c r="C772" s="3" t="n"/>
      <c r="D772" s="3" t="n"/>
      <c r="E772" s="3" t="n"/>
      <c r="F772" s="3" t="n"/>
      <c r="G772" s="3" t="n"/>
      <c r="H772" s="3" t="n"/>
    </row>
    <row r="773" ht="15.75" customHeight="1" s="21">
      <c r="A773" s="3" t="n"/>
      <c r="B773" s="3" t="n"/>
      <c r="C773" s="3" t="n"/>
      <c r="D773" s="3" t="n"/>
      <c r="E773" s="3" t="n"/>
      <c r="F773" s="3" t="n"/>
      <c r="G773" s="3" t="n"/>
      <c r="H773" s="3" t="n"/>
    </row>
    <row r="774" ht="15.75" customHeight="1" s="21">
      <c r="A774" s="3" t="n"/>
      <c r="B774" s="3" t="n"/>
      <c r="C774" s="3" t="n"/>
      <c r="D774" s="3" t="n"/>
      <c r="E774" s="3" t="n"/>
      <c r="F774" s="3" t="n"/>
      <c r="G774" s="3" t="n"/>
      <c r="H774" s="3" t="n"/>
    </row>
    <row r="775" ht="15.75" customHeight="1" s="21">
      <c r="A775" s="3" t="n"/>
      <c r="B775" s="3" t="n"/>
      <c r="C775" s="3" t="n"/>
      <c r="D775" s="3" t="n"/>
      <c r="E775" s="3" t="n"/>
      <c r="F775" s="3" t="n"/>
      <c r="G775" s="3" t="n"/>
      <c r="H775" s="3" t="n"/>
    </row>
    <row r="776" ht="15.75" customHeight="1" s="21">
      <c r="A776" s="3" t="n"/>
      <c r="B776" s="3" t="n"/>
      <c r="C776" s="3" t="n"/>
      <c r="D776" s="3" t="n"/>
      <c r="E776" s="3" t="n"/>
      <c r="F776" s="3" t="n"/>
      <c r="G776" s="3" t="n"/>
      <c r="H776" s="3" t="n"/>
    </row>
    <row r="777" ht="15.75" customHeight="1" s="21">
      <c r="A777" s="3" t="n"/>
      <c r="B777" s="3" t="n"/>
      <c r="C777" s="3" t="n"/>
      <c r="D777" s="3" t="n"/>
      <c r="E777" s="3" t="n"/>
      <c r="F777" s="3" t="n"/>
      <c r="G777" s="3" t="n"/>
      <c r="H777" s="3" t="n"/>
    </row>
    <row r="778" ht="15.75" customHeight="1" s="21">
      <c r="A778" s="3" t="n"/>
      <c r="B778" s="3" t="n"/>
      <c r="C778" s="3" t="n"/>
      <c r="D778" s="3" t="n"/>
      <c r="E778" s="3" t="n"/>
      <c r="F778" s="3" t="n"/>
      <c r="G778" s="3" t="n"/>
      <c r="H778" s="3" t="n"/>
    </row>
    <row r="779" ht="15.75" customHeight="1" s="21">
      <c r="A779" s="3" t="n"/>
      <c r="B779" s="3" t="n"/>
      <c r="C779" s="3" t="n"/>
      <c r="D779" s="3" t="n"/>
      <c r="E779" s="3" t="n"/>
      <c r="F779" s="3" t="n"/>
      <c r="G779" s="3" t="n"/>
      <c r="H779" s="3" t="n"/>
    </row>
    <row r="780" ht="15.75" customHeight="1" s="21">
      <c r="A780" s="3" t="n"/>
      <c r="B780" s="3" t="n"/>
      <c r="C780" s="3" t="n"/>
      <c r="D780" s="3" t="n"/>
      <c r="E780" s="3" t="n"/>
      <c r="F780" s="3" t="n"/>
      <c r="G780" s="3" t="n"/>
      <c r="H780" s="3" t="n"/>
    </row>
    <row r="781" ht="15.75" customHeight="1" s="21">
      <c r="A781" s="3" t="n"/>
      <c r="B781" s="3" t="n"/>
      <c r="C781" s="3" t="n"/>
      <c r="D781" s="3" t="n"/>
      <c r="E781" s="3" t="n"/>
      <c r="F781" s="3" t="n"/>
      <c r="G781" s="3" t="n"/>
      <c r="H781" s="3" t="n"/>
    </row>
    <row r="782" ht="15.75" customHeight="1" s="21">
      <c r="A782" s="3" t="n"/>
      <c r="B782" s="3" t="n"/>
      <c r="C782" s="3" t="n"/>
      <c r="D782" s="3" t="n"/>
      <c r="E782" s="3" t="n"/>
      <c r="F782" s="3" t="n"/>
      <c r="G782" s="3" t="n"/>
      <c r="H782" s="3" t="n"/>
    </row>
    <row r="783" ht="15.75" customHeight="1" s="21">
      <c r="A783" s="3" t="n"/>
      <c r="B783" s="3" t="n"/>
      <c r="C783" s="3" t="n"/>
      <c r="D783" s="3" t="n"/>
      <c r="E783" s="3" t="n"/>
      <c r="F783" s="3" t="n"/>
      <c r="G783" s="3" t="n"/>
      <c r="H783" s="3" t="n"/>
    </row>
    <row r="784" ht="15.75" customHeight="1" s="21">
      <c r="A784" s="3" t="n"/>
      <c r="B784" s="3" t="n"/>
      <c r="C784" s="3" t="n"/>
      <c r="D784" s="3" t="n"/>
      <c r="E784" s="3" t="n"/>
      <c r="F784" s="3" t="n"/>
      <c r="G784" s="3" t="n"/>
      <c r="H784" s="3" t="n"/>
    </row>
    <row r="785" ht="15.75" customHeight="1" s="21">
      <c r="A785" s="3" t="n"/>
      <c r="B785" s="3" t="n"/>
      <c r="C785" s="3" t="n"/>
      <c r="D785" s="3" t="n"/>
      <c r="E785" s="3" t="n"/>
      <c r="F785" s="3" t="n"/>
      <c r="G785" s="3" t="n"/>
      <c r="H785" s="3" t="n"/>
    </row>
    <row r="786" ht="15.75" customHeight="1" s="21">
      <c r="A786" s="3" t="n"/>
      <c r="B786" s="3" t="n"/>
      <c r="C786" s="3" t="n"/>
      <c r="D786" s="3" t="n"/>
      <c r="E786" s="3" t="n"/>
      <c r="F786" s="3" t="n"/>
      <c r="G786" s="3" t="n"/>
      <c r="H786" s="3" t="n"/>
    </row>
    <row r="787" ht="15.75" customHeight="1" s="21">
      <c r="A787" s="3" t="n"/>
      <c r="B787" s="3" t="n"/>
      <c r="C787" s="3" t="n"/>
      <c r="D787" s="3" t="n"/>
      <c r="E787" s="3" t="n"/>
      <c r="F787" s="3" t="n"/>
      <c r="G787" s="3" t="n"/>
      <c r="H787" s="3" t="n"/>
    </row>
    <row r="788" ht="15.75" customHeight="1" s="21">
      <c r="A788" s="3" t="n"/>
      <c r="B788" s="3" t="n"/>
      <c r="C788" s="3" t="n"/>
      <c r="D788" s="3" t="n"/>
      <c r="E788" s="3" t="n"/>
      <c r="F788" s="3" t="n"/>
      <c r="G788" s="3" t="n"/>
      <c r="H788" s="3" t="n"/>
    </row>
    <row r="789" ht="15.75" customHeight="1" s="21">
      <c r="A789" s="3" t="n"/>
      <c r="B789" s="3" t="n"/>
      <c r="C789" s="3" t="n"/>
      <c r="D789" s="3" t="n"/>
      <c r="E789" s="3" t="n"/>
      <c r="F789" s="3" t="n"/>
      <c r="G789" s="3" t="n"/>
      <c r="H789" s="3" t="n"/>
    </row>
    <row r="790" ht="15.75" customHeight="1" s="21">
      <c r="A790" s="3" t="n"/>
      <c r="B790" s="3" t="n"/>
      <c r="C790" s="3" t="n"/>
      <c r="D790" s="3" t="n"/>
      <c r="E790" s="3" t="n"/>
      <c r="F790" s="3" t="n"/>
      <c r="G790" s="3" t="n"/>
      <c r="H790" s="3" t="n"/>
    </row>
    <row r="791" ht="15.75" customHeight="1" s="21">
      <c r="A791" s="3" t="n"/>
      <c r="B791" s="3" t="n"/>
      <c r="C791" s="3" t="n"/>
      <c r="D791" s="3" t="n"/>
      <c r="E791" s="3" t="n"/>
      <c r="F791" s="3" t="n"/>
      <c r="G791" s="3" t="n"/>
      <c r="H791" s="3" t="n"/>
    </row>
    <row r="792" ht="15.75" customHeight="1" s="21">
      <c r="A792" s="3" t="n"/>
      <c r="B792" s="3" t="n"/>
      <c r="C792" s="3" t="n"/>
      <c r="D792" s="3" t="n"/>
      <c r="E792" s="3" t="n"/>
      <c r="F792" s="3" t="n"/>
      <c r="G792" s="3" t="n"/>
      <c r="H792" s="3" t="n"/>
    </row>
    <row r="793" ht="15.75" customHeight="1" s="21">
      <c r="A793" s="3" t="n"/>
      <c r="B793" s="3" t="n"/>
      <c r="C793" s="3" t="n"/>
      <c r="D793" s="3" t="n"/>
      <c r="E793" s="3" t="n"/>
      <c r="F793" s="3" t="n"/>
      <c r="G793" s="3" t="n"/>
      <c r="H793" s="3" t="n"/>
    </row>
    <row r="794" ht="15.75" customHeight="1" s="21">
      <c r="A794" s="3" t="n"/>
      <c r="B794" s="3" t="n"/>
      <c r="C794" s="3" t="n"/>
      <c r="D794" s="3" t="n"/>
      <c r="E794" s="3" t="n"/>
      <c r="F794" s="3" t="n"/>
      <c r="G794" s="3" t="n"/>
      <c r="H794" s="3" t="n"/>
    </row>
    <row r="795" ht="15.75" customHeight="1" s="21">
      <c r="A795" s="3" t="n"/>
      <c r="B795" s="3" t="n"/>
      <c r="C795" s="3" t="n"/>
      <c r="D795" s="3" t="n"/>
      <c r="E795" s="3" t="n"/>
      <c r="F795" s="3" t="n"/>
      <c r="G795" s="3" t="n"/>
      <c r="H795" s="3" t="n"/>
    </row>
    <row r="796" ht="15.75" customHeight="1" s="21">
      <c r="A796" s="3" t="n"/>
      <c r="B796" s="3" t="n"/>
      <c r="C796" s="3" t="n"/>
      <c r="D796" s="3" t="n"/>
      <c r="E796" s="3" t="n"/>
      <c r="F796" s="3" t="n"/>
      <c r="G796" s="3" t="n"/>
      <c r="H796" s="3" t="n"/>
    </row>
    <row r="797" ht="15.75" customHeight="1" s="21">
      <c r="A797" s="3" t="n"/>
      <c r="B797" s="3" t="n"/>
      <c r="C797" s="3" t="n"/>
      <c r="D797" s="3" t="n"/>
      <c r="E797" s="3" t="n"/>
      <c r="F797" s="3" t="n"/>
      <c r="G797" s="3" t="n"/>
      <c r="H797" s="3" t="n"/>
    </row>
    <row r="798" ht="15.75" customHeight="1" s="21">
      <c r="A798" s="3" t="n"/>
      <c r="B798" s="3" t="n"/>
      <c r="C798" s="3" t="n"/>
      <c r="D798" s="3" t="n"/>
      <c r="E798" s="3" t="n"/>
      <c r="F798" s="3" t="n"/>
      <c r="G798" s="3" t="n"/>
      <c r="H798" s="3" t="n"/>
    </row>
    <row r="799" ht="15.75" customHeight="1" s="21">
      <c r="A799" s="3" t="n"/>
      <c r="B799" s="3" t="n"/>
      <c r="C799" s="3" t="n"/>
      <c r="D799" s="3" t="n"/>
      <c r="E799" s="3" t="n"/>
      <c r="F799" s="3" t="n"/>
      <c r="G799" s="3" t="n"/>
      <c r="H799" s="3" t="n"/>
    </row>
    <row r="800" ht="15.75" customHeight="1" s="21">
      <c r="A800" s="3" t="n"/>
      <c r="B800" s="3" t="n"/>
      <c r="C800" s="3" t="n"/>
      <c r="D800" s="3" t="n"/>
      <c r="E800" s="3" t="n"/>
      <c r="F800" s="3" t="n"/>
      <c r="G800" s="3" t="n"/>
      <c r="H800" s="3" t="n"/>
    </row>
    <row r="801" ht="15.75" customHeight="1" s="21">
      <c r="A801" s="3" t="n"/>
      <c r="B801" s="3" t="n"/>
      <c r="C801" s="3" t="n"/>
      <c r="D801" s="3" t="n"/>
      <c r="E801" s="3" t="n"/>
      <c r="F801" s="3" t="n"/>
      <c r="G801" s="3" t="n"/>
      <c r="H801" s="3" t="n"/>
    </row>
    <row r="802" ht="15.75" customHeight="1" s="21">
      <c r="A802" s="3" t="n"/>
      <c r="B802" s="3" t="n"/>
      <c r="C802" s="3" t="n"/>
      <c r="D802" s="3" t="n"/>
      <c r="E802" s="3" t="n"/>
      <c r="F802" s="3" t="n"/>
      <c r="G802" s="3" t="n"/>
      <c r="H802" s="3" t="n"/>
    </row>
    <row r="803" ht="15.75" customHeight="1" s="21">
      <c r="A803" s="3" t="n"/>
      <c r="B803" s="3" t="n"/>
      <c r="C803" s="3" t="n"/>
      <c r="D803" s="3" t="n"/>
      <c r="E803" s="3" t="n"/>
      <c r="F803" s="3" t="n"/>
      <c r="G803" s="3" t="n"/>
      <c r="H803" s="3" t="n"/>
    </row>
    <row r="804" ht="15.75" customHeight="1" s="21">
      <c r="A804" s="3" t="n"/>
      <c r="B804" s="3" t="n"/>
      <c r="C804" s="3" t="n"/>
      <c r="D804" s="3" t="n"/>
      <c r="E804" s="3" t="n"/>
      <c r="F804" s="3" t="n"/>
      <c r="G804" s="3" t="n"/>
      <c r="H804" s="3" t="n"/>
    </row>
    <row r="805" ht="15.75" customHeight="1" s="21">
      <c r="A805" s="3" t="n"/>
      <c r="B805" s="3" t="n"/>
      <c r="C805" s="3" t="n"/>
      <c r="D805" s="3" t="n"/>
      <c r="E805" s="3" t="n"/>
      <c r="F805" s="3" t="n"/>
      <c r="G805" s="3" t="n"/>
      <c r="H805" s="3" t="n"/>
    </row>
    <row r="806" ht="15.75" customHeight="1" s="21">
      <c r="A806" s="3" t="n"/>
      <c r="B806" s="3" t="n"/>
      <c r="C806" s="3" t="n"/>
      <c r="D806" s="3" t="n"/>
      <c r="E806" s="3" t="n"/>
      <c r="F806" s="3" t="n"/>
      <c r="G806" s="3" t="n"/>
      <c r="H806" s="3" t="n"/>
    </row>
    <row r="807" ht="15.75" customHeight="1" s="21">
      <c r="A807" s="3" t="n"/>
      <c r="B807" s="3" t="n"/>
      <c r="C807" s="3" t="n"/>
      <c r="D807" s="3" t="n"/>
      <c r="E807" s="3" t="n"/>
      <c r="F807" s="3" t="n"/>
      <c r="G807" s="3" t="n"/>
      <c r="H807" s="3" t="n"/>
    </row>
    <row r="808" ht="15.75" customHeight="1" s="21">
      <c r="A808" s="3" t="n"/>
      <c r="B808" s="3" t="n"/>
      <c r="C808" s="3" t="n"/>
      <c r="D808" s="3" t="n"/>
      <c r="E808" s="3" t="n"/>
      <c r="F808" s="3" t="n"/>
      <c r="G808" s="3" t="n"/>
      <c r="H808" s="3" t="n"/>
    </row>
    <row r="809" ht="15.75" customHeight="1" s="21">
      <c r="A809" s="3" t="n"/>
      <c r="B809" s="3" t="n"/>
      <c r="C809" s="3" t="n"/>
      <c r="D809" s="3" t="n"/>
      <c r="E809" s="3" t="n"/>
      <c r="F809" s="3" t="n"/>
      <c r="G809" s="3" t="n"/>
      <c r="H809" s="3" t="n"/>
    </row>
    <row r="810" ht="15.75" customHeight="1" s="21">
      <c r="A810" s="3" t="n"/>
      <c r="B810" s="3" t="n"/>
      <c r="C810" s="3" t="n"/>
      <c r="D810" s="3" t="n"/>
      <c r="E810" s="3" t="n"/>
      <c r="F810" s="3" t="n"/>
      <c r="G810" s="3" t="n"/>
      <c r="H810" s="3" t="n"/>
    </row>
    <row r="811" ht="15.75" customHeight="1" s="21">
      <c r="A811" s="3" t="n"/>
      <c r="B811" s="3" t="n"/>
      <c r="C811" s="3" t="n"/>
      <c r="D811" s="3" t="n"/>
      <c r="E811" s="3" t="n"/>
      <c r="F811" s="3" t="n"/>
      <c r="G811" s="3" t="n"/>
      <c r="H811" s="3" t="n"/>
    </row>
    <row r="812" ht="15.75" customHeight="1" s="21">
      <c r="A812" s="3" t="n"/>
      <c r="B812" s="3" t="n"/>
      <c r="C812" s="3" t="n"/>
      <c r="D812" s="3" t="n"/>
      <c r="E812" s="3" t="n"/>
      <c r="F812" s="3" t="n"/>
      <c r="G812" s="3" t="n"/>
      <c r="H812" s="3" t="n"/>
    </row>
    <row r="813" ht="15.75" customHeight="1" s="21">
      <c r="A813" s="3" t="n"/>
      <c r="B813" s="3" t="n"/>
      <c r="C813" s="3" t="n"/>
      <c r="D813" s="3" t="n"/>
      <c r="E813" s="3" t="n"/>
      <c r="F813" s="3" t="n"/>
      <c r="G813" s="3" t="n"/>
      <c r="H813" s="3" t="n"/>
    </row>
    <row r="814" ht="15.75" customHeight="1" s="21">
      <c r="A814" s="3" t="n"/>
      <c r="B814" s="3" t="n"/>
      <c r="C814" s="3" t="n"/>
      <c r="D814" s="3" t="n"/>
      <c r="E814" s="3" t="n"/>
      <c r="F814" s="3" t="n"/>
      <c r="G814" s="3" t="n"/>
      <c r="H814" s="3" t="n"/>
    </row>
    <row r="815" ht="15.75" customHeight="1" s="21">
      <c r="A815" s="3" t="n"/>
      <c r="B815" s="3" t="n"/>
      <c r="C815" s="3" t="n"/>
      <c r="D815" s="3" t="n"/>
      <c r="E815" s="3" t="n"/>
      <c r="F815" s="3" t="n"/>
      <c r="G815" s="3" t="n"/>
      <c r="H815" s="3" t="n"/>
    </row>
    <row r="816" ht="15.75" customHeight="1" s="21">
      <c r="A816" s="3" t="n"/>
      <c r="B816" s="3" t="n"/>
      <c r="C816" s="3" t="n"/>
      <c r="D816" s="3" t="n"/>
      <c r="E816" s="3" t="n"/>
      <c r="F816" s="3" t="n"/>
      <c r="G816" s="3" t="n"/>
      <c r="H816" s="3" t="n"/>
    </row>
    <row r="817" ht="15.75" customHeight="1" s="21">
      <c r="A817" s="3" t="n"/>
      <c r="B817" s="3" t="n"/>
      <c r="C817" s="3" t="n"/>
      <c r="D817" s="3" t="n"/>
      <c r="E817" s="3" t="n"/>
      <c r="F817" s="3" t="n"/>
      <c r="G817" s="3" t="n"/>
      <c r="H817" s="3" t="n"/>
    </row>
    <row r="818" ht="15.75" customHeight="1" s="21">
      <c r="A818" s="3" t="n"/>
      <c r="B818" s="3" t="n"/>
      <c r="C818" s="3" t="n"/>
      <c r="D818" s="3" t="n"/>
      <c r="E818" s="3" t="n"/>
      <c r="F818" s="3" t="n"/>
      <c r="G818" s="3" t="n"/>
      <c r="H818" s="3" t="n"/>
    </row>
    <row r="819" ht="15.75" customHeight="1" s="21">
      <c r="A819" s="3" t="n"/>
      <c r="B819" s="3" t="n"/>
      <c r="C819" s="3" t="n"/>
      <c r="D819" s="3" t="n"/>
      <c r="E819" s="3" t="n"/>
      <c r="F819" s="3" t="n"/>
      <c r="G819" s="3" t="n"/>
      <c r="H819" s="3" t="n"/>
    </row>
    <row r="820" ht="15.75" customHeight="1" s="21">
      <c r="A820" s="3" t="n"/>
      <c r="B820" s="3" t="n"/>
      <c r="C820" s="3" t="n"/>
      <c r="D820" s="3" t="n"/>
      <c r="E820" s="3" t="n"/>
      <c r="F820" s="3" t="n"/>
      <c r="G820" s="3" t="n"/>
      <c r="H820" s="3" t="n"/>
    </row>
    <row r="821" ht="15.75" customHeight="1" s="21">
      <c r="A821" s="3" t="n"/>
      <c r="B821" s="3" t="n"/>
      <c r="C821" s="3" t="n"/>
      <c r="D821" s="3" t="n"/>
      <c r="E821" s="3" t="n"/>
      <c r="F821" s="3" t="n"/>
      <c r="G821" s="3" t="n"/>
      <c r="H821" s="3" t="n"/>
    </row>
    <row r="822" ht="15.75" customHeight="1" s="21">
      <c r="A822" s="3" t="n"/>
      <c r="B822" s="3" t="n"/>
      <c r="C822" s="3" t="n"/>
      <c r="D822" s="3" t="n"/>
      <c r="E822" s="3" t="n"/>
      <c r="F822" s="3" t="n"/>
      <c r="G822" s="3" t="n"/>
      <c r="H822" s="3" t="n"/>
    </row>
    <row r="823" ht="15.75" customHeight="1" s="21">
      <c r="A823" s="3" t="n"/>
      <c r="B823" s="3" t="n"/>
      <c r="C823" s="3" t="n"/>
      <c r="D823" s="3" t="n"/>
      <c r="E823" s="3" t="n"/>
      <c r="F823" s="3" t="n"/>
      <c r="G823" s="3" t="n"/>
      <c r="H823" s="3" t="n"/>
    </row>
    <row r="824" ht="15.75" customHeight="1" s="21">
      <c r="A824" s="3" t="n"/>
      <c r="B824" s="3" t="n"/>
      <c r="C824" s="3" t="n"/>
      <c r="D824" s="3" t="n"/>
      <c r="E824" s="3" t="n"/>
      <c r="F824" s="3" t="n"/>
      <c r="G824" s="3" t="n"/>
      <c r="H824" s="3" t="n"/>
    </row>
    <row r="825" ht="15.75" customHeight="1" s="21">
      <c r="A825" s="3" t="n"/>
      <c r="B825" s="3" t="n"/>
      <c r="C825" s="3" t="n"/>
      <c r="D825" s="3" t="n"/>
      <c r="E825" s="3" t="n"/>
      <c r="F825" s="3" t="n"/>
      <c r="G825" s="3" t="n"/>
      <c r="H825" s="3" t="n"/>
    </row>
    <row r="826" ht="15.75" customHeight="1" s="21">
      <c r="A826" s="3" t="n"/>
      <c r="B826" s="3" t="n"/>
      <c r="C826" s="3" t="n"/>
      <c r="D826" s="3" t="n"/>
      <c r="E826" s="3" t="n"/>
      <c r="F826" s="3" t="n"/>
      <c r="G826" s="3" t="n"/>
      <c r="H826" s="3" t="n"/>
    </row>
    <row r="827" ht="15.75" customHeight="1" s="21">
      <c r="A827" s="3" t="n"/>
      <c r="B827" s="3" t="n"/>
      <c r="C827" s="3" t="n"/>
      <c r="D827" s="3" t="n"/>
      <c r="E827" s="3" t="n"/>
      <c r="F827" s="3" t="n"/>
      <c r="G827" s="3" t="n"/>
      <c r="H827" s="3" t="n"/>
    </row>
    <row r="828" ht="15.75" customHeight="1" s="21">
      <c r="A828" s="3" t="n"/>
      <c r="B828" s="3" t="n"/>
      <c r="C828" s="3" t="n"/>
      <c r="D828" s="3" t="n"/>
      <c r="E828" s="3" t="n"/>
      <c r="F828" s="3" t="n"/>
      <c r="G828" s="3" t="n"/>
      <c r="H828" s="3" t="n"/>
    </row>
    <row r="829" ht="15.75" customHeight="1" s="21">
      <c r="A829" s="3" t="n"/>
      <c r="B829" s="3" t="n"/>
      <c r="C829" s="3" t="n"/>
      <c r="D829" s="3" t="n"/>
      <c r="E829" s="3" t="n"/>
      <c r="F829" s="3" t="n"/>
      <c r="G829" s="3" t="n"/>
      <c r="H829" s="3" t="n"/>
    </row>
    <row r="830" ht="15.75" customHeight="1" s="21">
      <c r="A830" s="3" t="n"/>
      <c r="B830" s="3" t="n"/>
      <c r="C830" s="3" t="n"/>
      <c r="D830" s="3" t="n"/>
      <c r="E830" s="3" t="n"/>
      <c r="F830" s="3" t="n"/>
      <c r="G830" s="3" t="n"/>
      <c r="H830" s="3" t="n"/>
    </row>
    <row r="831" ht="15.75" customHeight="1" s="21">
      <c r="A831" s="3" t="n"/>
      <c r="B831" s="3" t="n"/>
      <c r="C831" s="3" t="n"/>
      <c r="D831" s="3" t="n"/>
      <c r="E831" s="3" t="n"/>
      <c r="F831" s="3" t="n"/>
      <c r="G831" s="3" t="n"/>
      <c r="H831" s="3" t="n"/>
    </row>
    <row r="832" ht="15.75" customHeight="1" s="21">
      <c r="A832" s="3" t="n"/>
      <c r="B832" s="3" t="n"/>
      <c r="C832" s="3" t="n"/>
      <c r="D832" s="3" t="n"/>
      <c r="E832" s="3" t="n"/>
      <c r="F832" s="3" t="n"/>
      <c r="G832" s="3" t="n"/>
      <c r="H832" s="3" t="n"/>
    </row>
    <row r="833" ht="15.75" customHeight="1" s="21">
      <c r="A833" s="3" t="n"/>
      <c r="B833" s="3" t="n"/>
      <c r="C833" s="3" t="n"/>
      <c r="D833" s="3" t="n"/>
      <c r="E833" s="3" t="n"/>
      <c r="F833" s="3" t="n"/>
      <c r="G833" s="3" t="n"/>
      <c r="H833" s="3" t="n"/>
    </row>
    <row r="834" ht="15.75" customHeight="1" s="21">
      <c r="A834" s="3" t="n"/>
      <c r="B834" s="3" t="n"/>
      <c r="C834" s="3" t="n"/>
      <c r="D834" s="3" t="n"/>
      <c r="E834" s="3" t="n"/>
      <c r="F834" s="3" t="n"/>
      <c r="G834" s="3" t="n"/>
      <c r="H834" s="3" t="n"/>
    </row>
    <row r="835" ht="15.75" customHeight="1" s="21">
      <c r="A835" s="3" t="n"/>
      <c r="B835" s="3" t="n"/>
      <c r="C835" s="3" t="n"/>
      <c r="D835" s="3" t="n"/>
      <c r="E835" s="3" t="n"/>
      <c r="F835" s="3" t="n"/>
      <c r="G835" s="3" t="n"/>
      <c r="H835" s="3" t="n"/>
    </row>
    <row r="836" ht="15.75" customHeight="1" s="21">
      <c r="A836" s="3" t="n"/>
      <c r="B836" s="3" t="n"/>
      <c r="C836" s="3" t="n"/>
      <c r="D836" s="3" t="n"/>
      <c r="E836" s="3" t="n"/>
      <c r="F836" s="3" t="n"/>
      <c r="G836" s="3" t="n"/>
      <c r="H836" s="3" t="n"/>
    </row>
    <row r="837" ht="15.75" customHeight="1" s="21">
      <c r="A837" s="3" t="n"/>
      <c r="B837" s="3" t="n"/>
      <c r="C837" s="3" t="n"/>
      <c r="D837" s="3" t="n"/>
      <c r="E837" s="3" t="n"/>
      <c r="F837" s="3" t="n"/>
      <c r="G837" s="3" t="n"/>
      <c r="H837" s="3" t="n"/>
    </row>
    <row r="838" ht="15.75" customHeight="1" s="21">
      <c r="A838" s="3" t="n"/>
      <c r="B838" s="3" t="n"/>
      <c r="C838" s="3" t="n"/>
      <c r="D838" s="3" t="n"/>
      <c r="E838" s="3" t="n"/>
      <c r="F838" s="3" t="n"/>
      <c r="G838" s="3" t="n"/>
      <c r="H838" s="3" t="n"/>
    </row>
    <row r="839" ht="15.75" customHeight="1" s="21">
      <c r="A839" s="3" t="n"/>
      <c r="B839" s="3" t="n"/>
      <c r="C839" s="3" t="n"/>
      <c r="D839" s="3" t="n"/>
      <c r="E839" s="3" t="n"/>
      <c r="F839" s="3" t="n"/>
      <c r="G839" s="3" t="n"/>
      <c r="H839" s="3" t="n"/>
    </row>
    <row r="840" ht="15.75" customHeight="1" s="21">
      <c r="A840" s="3" t="n"/>
      <c r="B840" s="3" t="n"/>
      <c r="C840" s="3" t="n"/>
      <c r="D840" s="3" t="n"/>
      <c r="E840" s="3" t="n"/>
      <c r="F840" s="3" t="n"/>
      <c r="G840" s="3" t="n"/>
      <c r="H840" s="3" t="n"/>
    </row>
    <row r="841" ht="15.75" customHeight="1" s="21">
      <c r="A841" s="3" t="n"/>
      <c r="B841" s="3" t="n"/>
      <c r="C841" s="3" t="n"/>
      <c r="D841" s="3" t="n"/>
      <c r="E841" s="3" t="n"/>
      <c r="F841" s="3" t="n"/>
      <c r="G841" s="3" t="n"/>
      <c r="H841" s="3" t="n"/>
    </row>
    <row r="842" ht="15.75" customHeight="1" s="21">
      <c r="A842" s="3" t="n"/>
      <c r="B842" s="3" t="n"/>
      <c r="C842" s="3" t="n"/>
      <c r="D842" s="3" t="n"/>
      <c r="E842" s="3" t="n"/>
      <c r="F842" s="3" t="n"/>
      <c r="G842" s="3" t="n"/>
      <c r="H842" s="3" t="n"/>
    </row>
    <row r="843" ht="15.75" customHeight="1" s="21">
      <c r="A843" s="3" t="n"/>
      <c r="B843" s="3" t="n"/>
      <c r="C843" s="3" t="n"/>
      <c r="D843" s="3" t="n"/>
      <c r="E843" s="3" t="n"/>
      <c r="F843" s="3" t="n"/>
      <c r="G843" s="3" t="n"/>
      <c r="H843" s="3" t="n"/>
    </row>
    <row r="844" ht="15.75" customHeight="1" s="21">
      <c r="A844" s="3" t="n"/>
      <c r="B844" s="3" t="n"/>
      <c r="C844" s="3" t="n"/>
      <c r="D844" s="3" t="n"/>
      <c r="E844" s="3" t="n"/>
      <c r="F844" s="3" t="n"/>
      <c r="G844" s="3" t="n"/>
      <c r="H844" s="3" t="n"/>
    </row>
    <row r="845" ht="15.75" customHeight="1" s="21">
      <c r="A845" s="3" t="n"/>
      <c r="B845" s="3" t="n"/>
      <c r="C845" s="3" t="n"/>
      <c r="D845" s="3" t="n"/>
      <c r="E845" s="3" t="n"/>
      <c r="F845" s="3" t="n"/>
      <c r="G845" s="3" t="n"/>
      <c r="H845" s="3" t="n"/>
    </row>
    <row r="846" ht="15.75" customHeight="1" s="21">
      <c r="A846" s="3" t="n"/>
      <c r="B846" s="3" t="n"/>
      <c r="C846" s="3" t="n"/>
      <c r="D846" s="3" t="n"/>
      <c r="E846" s="3" t="n"/>
      <c r="F846" s="3" t="n"/>
      <c r="G846" s="3" t="n"/>
      <c r="H846" s="3" t="n"/>
    </row>
    <row r="847" ht="15.75" customHeight="1" s="21">
      <c r="A847" s="3" t="n"/>
      <c r="B847" s="3" t="n"/>
      <c r="C847" s="3" t="n"/>
      <c r="D847" s="3" t="n"/>
      <c r="E847" s="3" t="n"/>
      <c r="F847" s="3" t="n"/>
      <c r="G847" s="3" t="n"/>
      <c r="H847" s="3" t="n"/>
    </row>
    <row r="848" ht="15.75" customHeight="1" s="21">
      <c r="A848" s="3" t="n"/>
      <c r="B848" s="3" t="n"/>
      <c r="C848" s="3" t="n"/>
      <c r="D848" s="3" t="n"/>
      <c r="E848" s="3" t="n"/>
      <c r="F848" s="3" t="n"/>
      <c r="G848" s="3" t="n"/>
      <c r="H848" s="3" t="n"/>
    </row>
    <row r="849" ht="15.75" customHeight="1" s="21">
      <c r="A849" s="3" t="n"/>
      <c r="B849" s="3" t="n"/>
      <c r="C849" s="3" t="n"/>
      <c r="D849" s="3" t="n"/>
      <c r="E849" s="3" t="n"/>
      <c r="F849" s="3" t="n"/>
      <c r="G849" s="3" t="n"/>
      <c r="H849" s="3" t="n"/>
    </row>
    <row r="850" ht="15.75" customHeight="1" s="21">
      <c r="A850" s="3" t="n"/>
      <c r="B850" s="3" t="n"/>
      <c r="C850" s="3" t="n"/>
      <c r="D850" s="3" t="n"/>
      <c r="E850" s="3" t="n"/>
      <c r="F850" s="3" t="n"/>
      <c r="G850" s="3" t="n"/>
      <c r="H850" s="3" t="n"/>
    </row>
    <row r="851" ht="15.75" customHeight="1" s="21">
      <c r="A851" s="3" t="n"/>
      <c r="B851" s="3" t="n"/>
      <c r="C851" s="3" t="n"/>
      <c r="D851" s="3" t="n"/>
      <c r="E851" s="3" t="n"/>
      <c r="F851" s="3" t="n"/>
      <c r="G851" s="3" t="n"/>
      <c r="H851" s="3" t="n"/>
    </row>
    <row r="852" ht="15.75" customHeight="1" s="21">
      <c r="A852" s="3" t="n"/>
      <c r="B852" s="3" t="n"/>
      <c r="C852" s="3" t="n"/>
      <c r="D852" s="3" t="n"/>
      <c r="E852" s="3" t="n"/>
      <c r="F852" s="3" t="n"/>
      <c r="G852" s="3" t="n"/>
      <c r="H852" s="3" t="n"/>
    </row>
    <row r="853" ht="15.75" customHeight="1" s="21">
      <c r="A853" s="3" t="n"/>
      <c r="B853" s="3" t="n"/>
      <c r="C853" s="3" t="n"/>
      <c r="D853" s="3" t="n"/>
      <c r="E853" s="3" t="n"/>
      <c r="F853" s="3" t="n"/>
      <c r="G853" s="3" t="n"/>
      <c r="H853" s="3" t="n"/>
    </row>
    <row r="854" ht="15.75" customHeight="1" s="21">
      <c r="A854" s="3" t="n"/>
      <c r="B854" s="3" t="n"/>
      <c r="C854" s="3" t="n"/>
      <c r="D854" s="3" t="n"/>
      <c r="E854" s="3" t="n"/>
      <c r="F854" s="3" t="n"/>
      <c r="G854" s="3" t="n"/>
      <c r="H854" s="3" t="n"/>
    </row>
    <row r="855" ht="15.75" customHeight="1" s="21">
      <c r="A855" s="3" t="n"/>
      <c r="B855" s="3" t="n"/>
      <c r="C855" s="3" t="n"/>
      <c r="D855" s="3" t="n"/>
      <c r="E855" s="3" t="n"/>
      <c r="F855" s="3" t="n"/>
      <c r="G855" s="3" t="n"/>
      <c r="H855" s="3" t="n"/>
    </row>
    <row r="856" ht="15.75" customHeight="1" s="21">
      <c r="A856" s="3" t="n"/>
      <c r="B856" s="3" t="n"/>
      <c r="C856" s="3" t="n"/>
      <c r="D856" s="3" t="n"/>
      <c r="E856" s="3" t="n"/>
      <c r="F856" s="3" t="n"/>
      <c r="G856" s="3" t="n"/>
      <c r="H856" s="3" t="n"/>
    </row>
    <row r="857" ht="15.75" customHeight="1" s="21">
      <c r="A857" s="3" t="n"/>
      <c r="B857" s="3" t="n"/>
      <c r="C857" s="3" t="n"/>
      <c r="D857" s="3" t="n"/>
      <c r="E857" s="3" t="n"/>
      <c r="F857" s="3" t="n"/>
      <c r="G857" s="3" t="n"/>
      <c r="H857" s="3" t="n"/>
    </row>
    <row r="858" ht="15.75" customHeight="1" s="21">
      <c r="A858" s="3" t="n"/>
      <c r="B858" s="3" t="n"/>
      <c r="C858" s="3" t="n"/>
      <c r="D858" s="3" t="n"/>
      <c r="E858" s="3" t="n"/>
      <c r="F858" s="3" t="n"/>
      <c r="G858" s="3" t="n"/>
      <c r="H858" s="3" t="n"/>
    </row>
    <row r="859" ht="15.75" customHeight="1" s="21">
      <c r="A859" s="3" t="n"/>
      <c r="B859" s="3" t="n"/>
      <c r="C859" s="3" t="n"/>
      <c r="D859" s="3" t="n"/>
      <c r="E859" s="3" t="n"/>
      <c r="F859" s="3" t="n"/>
      <c r="G859" s="3" t="n"/>
      <c r="H859" s="3" t="n"/>
    </row>
    <row r="860" ht="15.75" customHeight="1" s="21">
      <c r="A860" s="3" t="n"/>
      <c r="B860" s="3" t="n"/>
      <c r="C860" s="3" t="n"/>
      <c r="D860" s="3" t="n"/>
      <c r="E860" s="3" t="n"/>
      <c r="F860" s="3" t="n"/>
      <c r="G860" s="3" t="n"/>
      <c r="H860" s="3" t="n"/>
    </row>
    <row r="861" ht="15.75" customHeight="1" s="21">
      <c r="A861" s="3" t="n"/>
      <c r="B861" s="3" t="n"/>
      <c r="C861" s="3" t="n"/>
      <c r="D861" s="3" t="n"/>
      <c r="E861" s="3" t="n"/>
      <c r="F861" s="3" t="n"/>
      <c r="G861" s="3" t="n"/>
      <c r="H861" s="3" t="n"/>
    </row>
    <row r="862" ht="15.75" customHeight="1" s="21">
      <c r="A862" s="3" t="n"/>
      <c r="B862" s="3" t="n"/>
      <c r="C862" s="3" t="n"/>
      <c r="D862" s="3" t="n"/>
      <c r="E862" s="3" t="n"/>
      <c r="F862" s="3" t="n"/>
      <c r="G862" s="3" t="n"/>
      <c r="H862" s="3" t="n"/>
    </row>
    <row r="863" ht="15.75" customHeight="1" s="21">
      <c r="A863" s="3" t="n"/>
      <c r="B863" s="3" t="n"/>
      <c r="C863" s="3" t="n"/>
      <c r="D863" s="3" t="n"/>
      <c r="E863" s="3" t="n"/>
      <c r="F863" s="3" t="n"/>
      <c r="G863" s="3" t="n"/>
      <c r="H863" s="3" t="n"/>
    </row>
    <row r="864" ht="15.75" customHeight="1" s="21">
      <c r="A864" s="3" t="n"/>
      <c r="B864" s="3" t="n"/>
      <c r="C864" s="3" t="n"/>
      <c r="D864" s="3" t="n"/>
      <c r="E864" s="3" t="n"/>
      <c r="F864" s="3" t="n"/>
      <c r="G864" s="3" t="n"/>
      <c r="H864" s="3" t="n"/>
    </row>
    <row r="865" ht="15.75" customHeight="1" s="21">
      <c r="A865" s="3" t="n"/>
      <c r="B865" s="3" t="n"/>
      <c r="C865" s="3" t="n"/>
      <c r="D865" s="3" t="n"/>
      <c r="E865" s="3" t="n"/>
      <c r="F865" s="3" t="n"/>
      <c r="G865" s="3" t="n"/>
      <c r="H865" s="3" t="n"/>
    </row>
    <row r="866" ht="15.75" customHeight="1" s="21">
      <c r="A866" s="3" t="n"/>
      <c r="B866" s="3" t="n"/>
      <c r="C866" s="3" t="n"/>
      <c r="D866" s="3" t="n"/>
      <c r="E866" s="3" t="n"/>
      <c r="F866" s="3" t="n"/>
      <c r="G866" s="3" t="n"/>
      <c r="H866" s="3" t="n"/>
    </row>
    <row r="867" ht="15.75" customHeight="1" s="21">
      <c r="A867" s="3" t="n"/>
      <c r="B867" s="3" t="n"/>
      <c r="C867" s="3" t="n"/>
      <c r="D867" s="3" t="n"/>
      <c r="E867" s="3" t="n"/>
      <c r="F867" s="3" t="n"/>
      <c r="G867" s="3" t="n"/>
      <c r="H867" s="3" t="n"/>
    </row>
    <row r="868" ht="15.75" customHeight="1" s="21">
      <c r="A868" s="3" t="n"/>
      <c r="B868" s="3" t="n"/>
      <c r="C868" s="3" t="n"/>
      <c r="D868" s="3" t="n"/>
      <c r="E868" s="3" t="n"/>
      <c r="F868" s="3" t="n"/>
      <c r="G868" s="3" t="n"/>
      <c r="H868" s="3" t="n"/>
    </row>
    <row r="869" ht="15.75" customHeight="1" s="21">
      <c r="A869" s="3" t="n"/>
      <c r="B869" s="3" t="n"/>
      <c r="C869" s="3" t="n"/>
      <c r="D869" s="3" t="n"/>
      <c r="E869" s="3" t="n"/>
      <c r="F869" s="3" t="n"/>
      <c r="G869" s="3" t="n"/>
      <c r="H869" s="3" t="n"/>
    </row>
    <row r="870" ht="15.75" customHeight="1" s="21">
      <c r="A870" s="3" t="n"/>
      <c r="B870" s="3" t="n"/>
      <c r="C870" s="3" t="n"/>
      <c r="D870" s="3" t="n"/>
      <c r="E870" s="3" t="n"/>
      <c r="F870" s="3" t="n"/>
      <c r="G870" s="3" t="n"/>
      <c r="H870" s="3" t="n"/>
    </row>
    <row r="871" ht="15.75" customHeight="1" s="21">
      <c r="A871" s="3" t="n"/>
      <c r="B871" s="3" t="n"/>
      <c r="C871" s="3" t="n"/>
      <c r="D871" s="3" t="n"/>
      <c r="E871" s="3" t="n"/>
      <c r="F871" s="3" t="n"/>
      <c r="G871" s="3" t="n"/>
      <c r="H871" s="3" t="n"/>
    </row>
    <row r="872" ht="15.75" customHeight="1" s="21">
      <c r="A872" s="3" t="n"/>
      <c r="B872" s="3" t="n"/>
      <c r="C872" s="3" t="n"/>
      <c r="D872" s="3" t="n"/>
      <c r="E872" s="3" t="n"/>
      <c r="F872" s="3" t="n"/>
      <c r="G872" s="3" t="n"/>
      <c r="H872" s="3" t="n"/>
    </row>
    <row r="873" ht="15.75" customHeight="1" s="21">
      <c r="A873" s="3" t="n"/>
      <c r="B873" s="3" t="n"/>
      <c r="C873" s="3" t="n"/>
      <c r="D873" s="3" t="n"/>
      <c r="E873" s="3" t="n"/>
      <c r="F873" s="3" t="n"/>
      <c r="G873" s="3" t="n"/>
      <c r="H873" s="3" t="n"/>
    </row>
    <row r="874" ht="15.75" customHeight="1" s="21">
      <c r="A874" s="3" t="n"/>
      <c r="B874" s="3" t="n"/>
      <c r="C874" s="3" t="n"/>
      <c r="D874" s="3" t="n"/>
      <c r="E874" s="3" t="n"/>
      <c r="F874" s="3" t="n"/>
      <c r="G874" s="3" t="n"/>
      <c r="H874" s="3" t="n"/>
    </row>
    <row r="875" ht="15.75" customHeight="1" s="21">
      <c r="A875" s="3" t="n"/>
      <c r="B875" s="3" t="n"/>
      <c r="C875" s="3" t="n"/>
      <c r="D875" s="3" t="n"/>
      <c r="E875" s="3" t="n"/>
      <c r="F875" s="3" t="n"/>
      <c r="G875" s="3" t="n"/>
      <c r="H875" s="3" t="n"/>
    </row>
    <row r="876" ht="15.75" customHeight="1" s="21">
      <c r="A876" s="3" t="n"/>
      <c r="B876" s="3" t="n"/>
      <c r="C876" s="3" t="n"/>
      <c r="D876" s="3" t="n"/>
      <c r="E876" s="3" t="n"/>
      <c r="F876" s="3" t="n"/>
      <c r="G876" s="3" t="n"/>
      <c r="H876" s="3" t="n"/>
    </row>
    <row r="877" ht="15.75" customHeight="1" s="21">
      <c r="A877" s="3" t="n"/>
      <c r="B877" s="3" t="n"/>
      <c r="C877" s="3" t="n"/>
      <c r="D877" s="3" t="n"/>
      <c r="E877" s="3" t="n"/>
      <c r="F877" s="3" t="n"/>
      <c r="G877" s="3" t="n"/>
      <c r="H877" s="3" t="n"/>
    </row>
    <row r="878" ht="15.75" customHeight="1" s="21">
      <c r="A878" s="3" t="n"/>
      <c r="B878" s="3" t="n"/>
      <c r="C878" s="3" t="n"/>
      <c r="D878" s="3" t="n"/>
      <c r="E878" s="3" t="n"/>
      <c r="F878" s="3" t="n"/>
      <c r="G878" s="3" t="n"/>
      <c r="H878" s="3" t="n"/>
    </row>
    <row r="879" ht="15.75" customHeight="1" s="21">
      <c r="A879" s="3" t="n"/>
      <c r="B879" s="3" t="n"/>
      <c r="C879" s="3" t="n"/>
      <c r="D879" s="3" t="n"/>
      <c r="E879" s="3" t="n"/>
      <c r="F879" s="3" t="n"/>
      <c r="G879" s="3" t="n"/>
      <c r="H879" s="3" t="n"/>
    </row>
    <row r="880" ht="15.75" customHeight="1" s="21">
      <c r="A880" s="3" t="n"/>
      <c r="B880" s="3" t="n"/>
      <c r="C880" s="3" t="n"/>
      <c r="D880" s="3" t="n"/>
      <c r="E880" s="3" t="n"/>
      <c r="F880" s="3" t="n"/>
      <c r="G880" s="3" t="n"/>
      <c r="H880" s="3" t="n"/>
    </row>
    <row r="881" ht="15.75" customHeight="1" s="21">
      <c r="A881" s="3" t="n"/>
      <c r="B881" s="3" t="n"/>
      <c r="C881" s="3" t="n"/>
      <c r="D881" s="3" t="n"/>
      <c r="E881" s="3" t="n"/>
      <c r="F881" s="3" t="n"/>
      <c r="G881" s="3" t="n"/>
      <c r="H881" s="3" t="n"/>
    </row>
    <row r="882" ht="15.75" customHeight="1" s="21">
      <c r="A882" s="3" t="n"/>
      <c r="B882" s="3" t="n"/>
      <c r="C882" s="3" t="n"/>
      <c r="D882" s="3" t="n"/>
      <c r="E882" s="3" t="n"/>
      <c r="F882" s="3" t="n"/>
      <c r="G882" s="3" t="n"/>
      <c r="H882" s="3" t="n"/>
    </row>
    <row r="883" ht="15.75" customHeight="1" s="21">
      <c r="A883" s="3" t="n"/>
      <c r="B883" s="3" t="n"/>
      <c r="C883" s="3" t="n"/>
      <c r="D883" s="3" t="n"/>
      <c r="E883" s="3" t="n"/>
      <c r="F883" s="3" t="n"/>
      <c r="G883" s="3" t="n"/>
      <c r="H883" s="3" t="n"/>
    </row>
    <row r="884" ht="15.75" customHeight="1" s="21">
      <c r="A884" s="3" t="n"/>
      <c r="B884" s="3" t="n"/>
      <c r="C884" s="3" t="n"/>
      <c r="D884" s="3" t="n"/>
      <c r="E884" s="3" t="n"/>
      <c r="F884" s="3" t="n"/>
      <c r="G884" s="3" t="n"/>
      <c r="H884" s="3" t="n"/>
    </row>
    <row r="885" ht="15.75" customHeight="1" s="21">
      <c r="A885" s="3" t="n"/>
      <c r="B885" s="3" t="n"/>
      <c r="C885" s="3" t="n"/>
      <c r="D885" s="3" t="n"/>
      <c r="E885" s="3" t="n"/>
      <c r="F885" s="3" t="n"/>
      <c r="G885" s="3" t="n"/>
      <c r="H885" s="3" t="n"/>
    </row>
    <row r="886" ht="15.75" customHeight="1" s="21">
      <c r="A886" s="3" t="n"/>
      <c r="B886" s="3" t="n"/>
      <c r="C886" s="3" t="n"/>
      <c r="D886" s="3" t="n"/>
      <c r="E886" s="3" t="n"/>
      <c r="F886" s="3" t="n"/>
      <c r="G886" s="3" t="n"/>
      <c r="H886" s="3" t="n"/>
    </row>
    <row r="887" ht="15.75" customHeight="1" s="21">
      <c r="A887" s="3" t="n"/>
      <c r="B887" s="3" t="n"/>
      <c r="C887" s="3" t="n"/>
      <c r="D887" s="3" t="n"/>
      <c r="E887" s="3" t="n"/>
      <c r="F887" s="3" t="n"/>
      <c r="G887" s="3" t="n"/>
      <c r="H887" s="3" t="n"/>
    </row>
    <row r="888" ht="15.75" customHeight="1" s="21">
      <c r="A888" s="3" t="n"/>
      <c r="B888" s="3" t="n"/>
      <c r="C888" s="3" t="n"/>
      <c r="D888" s="3" t="n"/>
      <c r="E888" s="3" t="n"/>
      <c r="F888" s="3" t="n"/>
      <c r="G888" s="3" t="n"/>
      <c r="H888" s="3" t="n"/>
    </row>
    <row r="889" ht="15.75" customHeight="1" s="21">
      <c r="A889" s="3" t="n"/>
      <c r="B889" s="3" t="n"/>
      <c r="C889" s="3" t="n"/>
      <c r="D889" s="3" t="n"/>
      <c r="E889" s="3" t="n"/>
      <c r="F889" s="3" t="n"/>
      <c r="G889" s="3" t="n"/>
      <c r="H889" s="3" t="n"/>
    </row>
    <row r="890" ht="15.75" customHeight="1" s="21">
      <c r="A890" s="3" t="n"/>
      <c r="B890" s="3" t="n"/>
      <c r="C890" s="3" t="n"/>
      <c r="D890" s="3" t="n"/>
      <c r="E890" s="3" t="n"/>
      <c r="F890" s="3" t="n"/>
      <c r="G890" s="3" t="n"/>
      <c r="H890" s="3" t="n"/>
    </row>
    <row r="891" ht="15.75" customHeight="1" s="21">
      <c r="A891" s="3" t="n"/>
      <c r="B891" s="3" t="n"/>
      <c r="C891" s="3" t="n"/>
      <c r="D891" s="3" t="n"/>
      <c r="E891" s="3" t="n"/>
      <c r="F891" s="3" t="n"/>
      <c r="G891" s="3" t="n"/>
      <c r="H891" s="3" t="n"/>
    </row>
    <row r="892" ht="15.75" customHeight="1" s="21">
      <c r="A892" s="3" t="n"/>
      <c r="B892" s="3" t="n"/>
      <c r="C892" s="3" t="n"/>
      <c r="D892" s="3" t="n"/>
      <c r="E892" s="3" t="n"/>
      <c r="F892" s="3" t="n"/>
      <c r="G892" s="3" t="n"/>
      <c r="H892" s="3" t="n"/>
    </row>
    <row r="893" ht="15.75" customHeight="1" s="21">
      <c r="A893" s="3" t="n"/>
      <c r="B893" s="3" t="n"/>
      <c r="C893" s="3" t="n"/>
      <c r="D893" s="3" t="n"/>
      <c r="E893" s="3" t="n"/>
      <c r="F893" s="3" t="n"/>
      <c r="G893" s="3" t="n"/>
      <c r="H893" s="3" t="n"/>
    </row>
    <row r="894" ht="15.75" customHeight="1" s="21">
      <c r="A894" s="3" t="n"/>
      <c r="B894" s="3" t="n"/>
      <c r="C894" s="3" t="n"/>
      <c r="D894" s="3" t="n"/>
      <c r="E894" s="3" t="n"/>
      <c r="F894" s="3" t="n"/>
      <c r="G894" s="3" t="n"/>
      <c r="H894" s="3" t="n"/>
    </row>
    <row r="895" ht="15.75" customHeight="1" s="21">
      <c r="A895" s="3" t="n"/>
      <c r="B895" s="3" t="n"/>
      <c r="C895" s="3" t="n"/>
      <c r="D895" s="3" t="n"/>
      <c r="E895" s="3" t="n"/>
      <c r="F895" s="3" t="n"/>
      <c r="G895" s="3" t="n"/>
      <c r="H895" s="3" t="n"/>
    </row>
    <row r="896" ht="15.75" customHeight="1" s="21">
      <c r="A896" s="3" t="n"/>
      <c r="B896" s="3" t="n"/>
      <c r="C896" s="3" t="n"/>
      <c r="D896" s="3" t="n"/>
      <c r="E896" s="3" t="n"/>
      <c r="F896" s="3" t="n"/>
      <c r="G896" s="3" t="n"/>
      <c r="H896" s="3" t="n"/>
    </row>
    <row r="897" ht="15.75" customHeight="1" s="21">
      <c r="A897" s="3" t="n"/>
      <c r="B897" s="3" t="n"/>
      <c r="C897" s="3" t="n"/>
      <c r="D897" s="3" t="n"/>
      <c r="E897" s="3" t="n"/>
      <c r="F897" s="3" t="n"/>
      <c r="G897" s="3" t="n"/>
      <c r="H897" s="3" t="n"/>
    </row>
    <row r="898" ht="15.75" customHeight="1" s="21">
      <c r="A898" s="3" t="n"/>
      <c r="B898" s="3" t="n"/>
      <c r="C898" s="3" t="n"/>
      <c r="D898" s="3" t="n"/>
      <c r="E898" s="3" t="n"/>
      <c r="F898" s="3" t="n"/>
      <c r="G898" s="3" t="n"/>
      <c r="H898" s="3" t="n"/>
    </row>
    <row r="899" ht="15.75" customHeight="1" s="21">
      <c r="A899" s="3" t="n"/>
      <c r="B899" s="3" t="n"/>
      <c r="C899" s="3" t="n"/>
      <c r="D899" s="3" t="n"/>
      <c r="E899" s="3" t="n"/>
      <c r="F899" s="3" t="n"/>
      <c r="G899" s="3" t="n"/>
      <c r="H899" s="3" t="n"/>
    </row>
    <row r="900" ht="15.75" customHeight="1" s="21">
      <c r="A900" s="3" t="n"/>
      <c r="B900" s="3" t="n"/>
      <c r="C900" s="3" t="n"/>
      <c r="D900" s="3" t="n"/>
      <c r="E900" s="3" t="n"/>
      <c r="F900" s="3" t="n"/>
      <c r="G900" s="3" t="n"/>
      <c r="H900" s="3" t="n"/>
    </row>
    <row r="901" ht="15.75" customHeight="1" s="21">
      <c r="A901" s="3" t="n"/>
      <c r="B901" s="3" t="n"/>
      <c r="C901" s="3" t="n"/>
      <c r="D901" s="3" t="n"/>
      <c r="E901" s="3" t="n"/>
      <c r="F901" s="3" t="n"/>
      <c r="G901" s="3" t="n"/>
      <c r="H901" s="3" t="n"/>
    </row>
    <row r="902" ht="15.75" customHeight="1" s="21">
      <c r="A902" s="3" t="n"/>
      <c r="B902" s="3" t="n"/>
      <c r="C902" s="3" t="n"/>
      <c r="D902" s="3" t="n"/>
      <c r="E902" s="3" t="n"/>
      <c r="F902" s="3" t="n"/>
      <c r="G902" s="3" t="n"/>
      <c r="H902" s="3" t="n"/>
    </row>
    <row r="903" ht="15.75" customHeight="1" s="21">
      <c r="A903" s="3" t="n"/>
      <c r="B903" s="3" t="n"/>
      <c r="C903" s="3" t="n"/>
      <c r="D903" s="3" t="n"/>
      <c r="E903" s="3" t="n"/>
      <c r="F903" s="3" t="n"/>
      <c r="G903" s="3" t="n"/>
      <c r="H903" s="3" t="n"/>
    </row>
    <row r="904" ht="15.75" customHeight="1" s="21">
      <c r="A904" s="3" t="n"/>
      <c r="B904" s="3" t="n"/>
      <c r="C904" s="3" t="n"/>
      <c r="D904" s="3" t="n"/>
      <c r="E904" s="3" t="n"/>
      <c r="F904" s="3" t="n"/>
      <c r="G904" s="3" t="n"/>
      <c r="H904" s="3" t="n"/>
    </row>
    <row r="905" ht="15.75" customHeight="1" s="21">
      <c r="A905" s="3" t="n"/>
      <c r="B905" s="3" t="n"/>
      <c r="C905" s="3" t="n"/>
      <c r="D905" s="3" t="n"/>
      <c r="E905" s="3" t="n"/>
      <c r="F905" s="3" t="n"/>
      <c r="G905" s="3" t="n"/>
      <c r="H905" s="3" t="n"/>
    </row>
    <row r="906" ht="15.75" customHeight="1" s="21">
      <c r="A906" s="3" t="n"/>
      <c r="B906" s="3" t="n"/>
      <c r="C906" s="3" t="n"/>
      <c r="D906" s="3" t="n"/>
      <c r="E906" s="3" t="n"/>
      <c r="F906" s="3" t="n"/>
      <c r="G906" s="3" t="n"/>
      <c r="H906" s="3" t="n"/>
    </row>
    <row r="907" ht="15.75" customHeight="1" s="21">
      <c r="A907" s="3" t="n"/>
      <c r="B907" s="3" t="n"/>
      <c r="C907" s="3" t="n"/>
      <c r="D907" s="3" t="n"/>
      <c r="E907" s="3" t="n"/>
      <c r="F907" s="3" t="n"/>
      <c r="G907" s="3" t="n"/>
      <c r="H907" s="3" t="n"/>
    </row>
    <row r="908" ht="15.75" customHeight="1" s="21">
      <c r="A908" s="3" t="n"/>
      <c r="B908" s="3" t="n"/>
      <c r="C908" s="3" t="n"/>
      <c r="D908" s="3" t="n"/>
      <c r="E908" s="3" t="n"/>
      <c r="F908" s="3" t="n"/>
      <c r="G908" s="3" t="n"/>
      <c r="H908" s="3" t="n"/>
    </row>
    <row r="909" ht="15.75" customHeight="1" s="21">
      <c r="A909" s="3" t="n"/>
      <c r="B909" s="3" t="n"/>
      <c r="C909" s="3" t="n"/>
      <c r="D909" s="3" t="n"/>
      <c r="E909" s="3" t="n"/>
      <c r="F909" s="3" t="n"/>
      <c r="G909" s="3" t="n"/>
      <c r="H909" s="3" t="n"/>
    </row>
    <row r="910" ht="15.75" customHeight="1" s="21">
      <c r="A910" s="3" t="n"/>
      <c r="B910" s="3" t="n"/>
      <c r="C910" s="3" t="n"/>
      <c r="D910" s="3" t="n"/>
      <c r="E910" s="3" t="n"/>
      <c r="F910" s="3" t="n"/>
      <c r="G910" s="3" t="n"/>
      <c r="H910" s="3" t="n"/>
    </row>
    <row r="911" ht="15.75" customHeight="1" s="21">
      <c r="A911" s="3" t="n"/>
      <c r="B911" s="3" t="n"/>
      <c r="C911" s="3" t="n"/>
      <c r="D911" s="3" t="n"/>
      <c r="E911" s="3" t="n"/>
      <c r="F911" s="3" t="n"/>
      <c r="G911" s="3" t="n"/>
      <c r="H911" s="3" t="n"/>
    </row>
    <row r="912" ht="15.75" customHeight="1" s="21">
      <c r="A912" s="3" t="n"/>
      <c r="B912" s="3" t="n"/>
      <c r="C912" s="3" t="n"/>
      <c r="D912" s="3" t="n"/>
      <c r="E912" s="3" t="n"/>
      <c r="F912" s="3" t="n"/>
      <c r="G912" s="3" t="n"/>
      <c r="H912" s="3" t="n"/>
    </row>
    <row r="913" ht="15.75" customHeight="1" s="21">
      <c r="A913" s="3" t="n"/>
      <c r="B913" s="3" t="n"/>
      <c r="C913" s="3" t="n"/>
      <c r="D913" s="3" t="n"/>
      <c r="E913" s="3" t="n"/>
      <c r="F913" s="3" t="n"/>
      <c r="G913" s="3" t="n"/>
      <c r="H913" s="3" t="n"/>
    </row>
    <row r="914" ht="15.75" customHeight="1" s="21">
      <c r="A914" s="3" t="n"/>
      <c r="B914" s="3" t="n"/>
      <c r="C914" s="3" t="n"/>
      <c r="D914" s="3" t="n"/>
      <c r="E914" s="3" t="n"/>
      <c r="F914" s="3" t="n"/>
      <c r="G914" s="3" t="n"/>
      <c r="H914" s="3" t="n"/>
    </row>
    <row r="915" ht="15.75" customHeight="1" s="21">
      <c r="A915" s="3" t="n"/>
      <c r="B915" s="3" t="n"/>
      <c r="C915" s="3" t="n"/>
      <c r="D915" s="3" t="n"/>
      <c r="E915" s="3" t="n"/>
      <c r="F915" s="3" t="n"/>
      <c r="G915" s="3" t="n"/>
      <c r="H915" s="3" t="n"/>
    </row>
    <row r="916" ht="15.75" customHeight="1" s="21">
      <c r="A916" s="3" t="n"/>
      <c r="B916" s="3" t="n"/>
      <c r="C916" s="3" t="n"/>
      <c r="D916" s="3" t="n"/>
      <c r="E916" s="3" t="n"/>
      <c r="F916" s="3" t="n"/>
      <c r="G916" s="3" t="n"/>
      <c r="H916" s="3" t="n"/>
    </row>
    <row r="917" ht="15.75" customHeight="1" s="21">
      <c r="A917" s="3" t="n"/>
      <c r="B917" s="3" t="n"/>
      <c r="C917" s="3" t="n"/>
      <c r="D917" s="3" t="n"/>
      <c r="E917" s="3" t="n"/>
      <c r="F917" s="3" t="n"/>
      <c r="G917" s="3" t="n"/>
      <c r="H917" s="3" t="n"/>
    </row>
    <row r="918" ht="15.75" customHeight="1" s="21">
      <c r="A918" s="3" t="n"/>
      <c r="B918" s="3" t="n"/>
      <c r="C918" s="3" t="n"/>
      <c r="D918" s="3" t="n"/>
      <c r="E918" s="3" t="n"/>
      <c r="F918" s="3" t="n"/>
      <c r="G918" s="3" t="n"/>
      <c r="H918" s="3" t="n"/>
    </row>
    <row r="919" ht="15.75" customHeight="1" s="21">
      <c r="A919" s="3" t="n"/>
      <c r="B919" s="3" t="n"/>
      <c r="C919" s="3" t="n"/>
      <c r="D919" s="3" t="n"/>
      <c r="E919" s="3" t="n"/>
      <c r="F919" s="3" t="n"/>
      <c r="G919" s="3" t="n"/>
      <c r="H919" s="3" t="n"/>
    </row>
    <row r="920" ht="15.75" customHeight="1" s="21">
      <c r="A920" s="3" t="n"/>
      <c r="B920" s="3" t="n"/>
      <c r="C920" s="3" t="n"/>
      <c r="D920" s="3" t="n"/>
      <c r="E920" s="3" t="n"/>
      <c r="F920" s="3" t="n"/>
      <c r="G920" s="3" t="n"/>
      <c r="H920" s="3" t="n"/>
    </row>
    <row r="921" ht="15.75" customHeight="1" s="21">
      <c r="A921" s="3" t="n"/>
      <c r="B921" s="3" t="n"/>
      <c r="C921" s="3" t="n"/>
      <c r="D921" s="3" t="n"/>
      <c r="E921" s="3" t="n"/>
      <c r="F921" s="3" t="n"/>
      <c r="G921" s="3" t="n"/>
      <c r="H921" s="3" t="n"/>
    </row>
    <row r="922" ht="15.75" customHeight="1" s="21">
      <c r="A922" s="3" t="n"/>
      <c r="B922" s="3" t="n"/>
      <c r="C922" s="3" t="n"/>
      <c r="D922" s="3" t="n"/>
      <c r="E922" s="3" t="n"/>
      <c r="F922" s="3" t="n"/>
      <c r="G922" s="3" t="n"/>
      <c r="H922" s="3" t="n"/>
    </row>
    <row r="923" ht="15.75" customHeight="1" s="21">
      <c r="A923" s="3" t="n"/>
      <c r="B923" s="3" t="n"/>
      <c r="C923" s="3" t="n"/>
      <c r="D923" s="3" t="n"/>
      <c r="E923" s="3" t="n"/>
      <c r="F923" s="3" t="n"/>
      <c r="G923" s="3" t="n"/>
      <c r="H923" s="3" t="n"/>
    </row>
    <row r="924" ht="15.75" customHeight="1" s="21">
      <c r="A924" s="3" t="n"/>
      <c r="B924" s="3" t="n"/>
      <c r="C924" s="3" t="n"/>
      <c r="D924" s="3" t="n"/>
      <c r="E924" s="3" t="n"/>
      <c r="F924" s="3" t="n"/>
      <c r="G924" s="3" t="n"/>
      <c r="H924" s="3" t="n"/>
    </row>
    <row r="925" ht="15.75" customHeight="1" s="21">
      <c r="A925" s="3" t="n"/>
      <c r="B925" s="3" t="n"/>
      <c r="C925" s="3" t="n"/>
      <c r="D925" s="3" t="n"/>
      <c r="E925" s="3" t="n"/>
      <c r="F925" s="3" t="n"/>
      <c r="G925" s="3" t="n"/>
      <c r="H925" s="3" t="n"/>
    </row>
    <row r="926" ht="15.75" customHeight="1" s="21">
      <c r="A926" s="3" t="n"/>
      <c r="B926" s="3" t="n"/>
      <c r="C926" s="3" t="n"/>
      <c r="D926" s="3" t="n"/>
      <c r="E926" s="3" t="n"/>
      <c r="F926" s="3" t="n"/>
      <c r="G926" s="3" t="n"/>
      <c r="H926" s="3" t="n"/>
    </row>
    <row r="927" ht="15.75" customHeight="1" s="21">
      <c r="A927" s="3" t="n"/>
      <c r="B927" s="3" t="n"/>
      <c r="C927" s="3" t="n"/>
      <c r="D927" s="3" t="n"/>
      <c r="E927" s="3" t="n"/>
      <c r="F927" s="3" t="n"/>
      <c r="G927" s="3" t="n"/>
      <c r="H927" s="3" t="n"/>
    </row>
    <row r="928" ht="15.75" customHeight="1" s="21">
      <c r="A928" s="3" t="n"/>
      <c r="B928" s="3" t="n"/>
      <c r="C928" s="3" t="n"/>
      <c r="D928" s="3" t="n"/>
      <c r="E928" s="3" t="n"/>
      <c r="F928" s="3" t="n"/>
      <c r="G928" s="3" t="n"/>
      <c r="H928" s="3" t="n"/>
    </row>
    <row r="929" ht="15.75" customHeight="1" s="21">
      <c r="A929" s="3" t="n"/>
      <c r="B929" s="3" t="n"/>
      <c r="C929" s="3" t="n"/>
      <c r="D929" s="3" t="n"/>
      <c r="E929" s="3" t="n"/>
      <c r="F929" s="3" t="n"/>
      <c r="G929" s="3" t="n"/>
      <c r="H929" s="3" t="n"/>
    </row>
    <row r="930" ht="15.75" customHeight="1" s="21">
      <c r="A930" s="3" t="n"/>
      <c r="B930" s="3" t="n"/>
      <c r="C930" s="3" t="n"/>
      <c r="D930" s="3" t="n"/>
      <c r="E930" s="3" t="n"/>
      <c r="F930" s="3" t="n"/>
      <c r="G930" s="3" t="n"/>
      <c r="H930" s="3" t="n"/>
    </row>
    <row r="931" ht="15.75" customHeight="1" s="21">
      <c r="A931" s="3" t="n"/>
      <c r="B931" s="3" t="n"/>
      <c r="C931" s="3" t="n"/>
      <c r="D931" s="3" t="n"/>
      <c r="E931" s="3" t="n"/>
      <c r="F931" s="3" t="n"/>
      <c r="G931" s="3" t="n"/>
      <c r="H931" s="3" t="n"/>
    </row>
    <row r="932" ht="15.75" customHeight="1" s="21">
      <c r="A932" s="3" t="n"/>
      <c r="B932" s="3" t="n"/>
      <c r="C932" s="3" t="n"/>
      <c r="D932" s="3" t="n"/>
      <c r="E932" s="3" t="n"/>
      <c r="F932" s="3" t="n"/>
      <c r="G932" s="3" t="n"/>
      <c r="H932" s="3" t="n"/>
    </row>
    <row r="933" ht="15.75" customHeight="1" s="21">
      <c r="A933" s="3" t="n"/>
      <c r="B933" s="3" t="n"/>
      <c r="C933" s="3" t="n"/>
      <c r="D933" s="3" t="n"/>
      <c r="E933" s="3" t="n"/>
      <c r="F933" s="3" t="n"/>
      <c r="G933" s="3" t="n"/>
      <c r="H933" s="3" t="n"/>
    </row>
    <row r="934" ht="15.75" customHeight="1" s="21">
      <c r="A934" s="3" t="n"/>
      <c r="B934" s="3" t="n"/>
      <c r="C934" s="3" t="n"/>
      <c r="D934" s="3" t="n"/>
      <c r="E934" s="3" t="n"/>
      <c r="F934" s="3" t="n"/>
      <c r="G934" s="3" t="n"/>
      <c r="H934" s="3" t="n"/>
    </row>
    <row r="935" ht="15.75" customHeight="1" s="21">
      <c r="A935" s="3" t="n"/>
      <c r="B935" s="3" t="n"/>
      <c r="C935" s="3" t="n"/>
      <c r="D935" s="3" t="n"/>
      <c r="E935" s="3" t="n"/>
      <c r="F935" s="3" t="n"/>
      <c r="G935" s="3" t="n"/>
      <c r="H935" s="3" t="n"/>
    </row>
    <row r="936" ht="15.75" customHeight="1" s="21">
      <c r="A936" s="3" t="n"/>
      <c r="B936" s="3" t="n"/>
      <c r="C936" s="3" t="n"/>
      <c r="D936" s="3" t="n"/>
      <c r="E936" s="3" t="n"/>
      <c r="F936" s="3" t="n"/>
      <c r="G936" s="3" t="n"/>
      <c r="H936" s="3" t="n"/>
    </row>
    <row r="937" ht="15.75" customHeight="1" s="21">
      <c r="A937" s="3" t="n"/>
      <c r="B937" s="3" t="n"/>
      <c r="C937" s="3" t="n"/>
      <c r="D937" s="3" t="n"/>
      <c r="E937" s="3" t="n"/>
      <c r="F937" s="3" t="n"/>
      <c r="G937" s="3" t="n"/>
      <c r="H937" s="3" t="n"/>
    </row>
    <row r="938" ht="15.75" customHeight="1" s="21">
      <c r="A938" s="3" t="n"/>
      <c r="B938" s="3" t="n"/>
      <c r="C938" s="3" t="n"/>
      <c r="D938" s="3" t="n"/>
      <c r="E938" s="3" t="n"/>
      <c r="F938" s="3" t="n"/>
      <c r="G938" s="3" t="n"/>
      <c r="H938" s="3" t="n"/>
    </row>
    <row r="939" ht="15.75" customHeight="1" s="21">
      <c r="A939" s="3" t="n"/>
      <c r="B939" s="3" t="n"/>
      <c r="C939" s="3" t="n"/>
      <c r="D939" s="3" t="n"/>
      <c r="E939" s="3" t="n"/>
      <c r="F939" s="3" t="n"/>
      <c r="G939" s="3" t="n"/>
      <c r="H939" s="3" t="n"/>
    </row>
    <row r="940" ht="15.75" customHeight="1" s="21">
      <c r="A940" s="3" t="n"/>
      <c r="B940" s="3" t="n"/>
      <c r="C940" s="3" t="n"/>
      <c r="D940" s="3" t="n"/>
      <c r="E940" s="3" t="n"/>
      <c r="F940" s="3" t="n"/>
      <c r="G940" s="3" t="n"/>
      <c r="H940" s="3" t="n"/>
    </row>
    <row r="941" ht="15.75" customHeight="1" s="21">
      <c r="A941" s="3" t="n"/>
      <c r="B941" s="3" t="n"/>
      <c r="C941" s="3" t="n"/>
      <c r="D941" s="3" t="n"/>
      <c r="E941" s="3" t="n"/>
      <c r="F941" s="3" t="n"/>
      <c r="G941" s="3" t="n"/>
      <c r="H941" s="3" t="n"/>
    </row>
    <row r="942" ht="15.75" customHeight="1" s="21">
      <c r="A942" s="3" t="n"/>
      <c r="B942" s="3" t="n"/>
      <c r="C942" s="3" t="n"/>
      <c r="D942" s="3" t="n"/>
      <c r="E942" s="3" t="n"/>
      <c r="F942" s="3" t="n"/>
      <c r="G942" s="3" t="n"/>
      <c r="H942" s="3" t="n"/>
    </row>
    <row r="943" ht="15.75" customHeight="1" s="21">
      <c r="A943" s="3" t="n"/>
      <c r="B943" s="3" t="n"/>
      <c r="C943" s="3" t="n"/>
      <c r="D943" s="3" t="n"/>
      <c r="E943" s="3" t="n"/>
      <c r="F943" s="3" t="n"/>
      <c r="G943" s="3" t="n"/>
      <c r="H943" s="3" t="n"/>
    </row>
    <row r="944" ht="15.75" customHeight="1" s="21">
      <c r="A944" s="3" t="n"/>
      <c r="B944" s="3" t="n"/>
      <c r="C944" s="3" t="n"/>
      <c r="D944" s="3" t="n"/>
      <c r="E944" s="3" t="n"/>
      <c r="F944" s="3" t="n"/>
      <c r="G944" s="3" t="n"/>
      <c r="H944" s="3" t="n"/>
    </row>
    <row r="945" ht="15.75" customHeight="1" s="21">
      <c r="A945" s="3" t="n"/>
      <c r="B945" s="3" t="n"/>
      <c r="C945" s="3" t="n"/>
      <c r="D945" s="3" t="n"/>
      <c r="E945" s="3" t="n"/>
      <c r="F945" s="3" t="n"/>
      <c r="G945" s="3" t="n"/>
      <c r="H945" s="3" t="n"/>
    </row>
    <row r="946" ht="15.75" customHeight="1" s="21">
      <c r="A946" s="3" t="n"/>
      <c r="B946" s="3" t="n"/>
      <c r="C946" s="3" t="n"/>
      <c r="D946" s="3" t="n"/>
      <c r="E946" s="3" t="n"/>
      <c r="F946" s="3" t="n"/>
      <c r="G946" s="3" t="n"/>
      <c r="H946" s="3" t="n"/>
    </row>
    <row r="947" ht="15.75" customHeight="1" s="21">
      <c r="A947" s="3" t="n"/>
      <c r="B947" s="3" t="n"/>
      <c r="C947" s="3" t="n"/>
      <c r="D947" s="3" t="n"/>
      <c r="E947" s="3" t="n"/>
      <c r="F947" s="3" t="n"/>
      <c r="G947" s="3" t="n"/>
      <c r="H947" s="3" t="n"/>
    </row>
    <row r="948" ht="15.75" customHeight="1" s="21">
      <c r="A948" s="3" t="n"/>
      <c r="B948" s="3" t="n"/>
      <c r="C948" s="3" t="n"/>
      <c r="D948" s="3" t="n"/>
      <c r="E948" s="3" t="n"/>
      <c r="F948" s="3" t="n"/>
      <c r="G948" s="3" t="n"/>
      <c r="H948" s="3" t="n"/>
    </row>
    <row r="949" ht="15.75" customHeight="1" s="21">
      <c r="A949" s="3" t="n"/>
      <c r="B949" s="3" t="n"/>
      <c r="C949" s="3" t="n"/>
      <c r="D949" s="3" t="n"/>
      <c r="E949" s="3" t="n"/>
      <c r="F949" s="3" t="n"/>
      <c r="G949" s="3" t="n"/>
      <c r="H949" s="3" t="n"/>
    </row>
    <row r="950" ht="15.75" customHeight="1" s="21">
      <c r="A950" s="3" t="n"/>
      <c r="B950" s="3" t="n"/>
      <c r="C950" s="3" t="n"/>
      <c r="D950" s="3" t="n"/>
      <c r="E950" s="3" t="n"/>
      <c r="F950" s="3" t="n"/>
      <c r="G950" s="3" t="n"/>
      <c r="H950" s="3" t="n"/>
    </row>
    <row r="951" ht="15.75" customHeight="1" s="21">
      <c r="A951" s="3" t="n"/>
      <c r="B951" s="3" t="n"/>
      <c r="C951" s="3" t="n"/>
      <c r="D951" s="3" t="n"/>
      <c r="E951" s="3" t="n"/>
      <c r="F951" s="3" t="n"/>
      <c r="G951" s="3" t="n"/>
      <c r="H951" s="3" t="n"/>
    </row>
    <row r="952" ht="15.75" customHeight="1" s="21">
      <c r="A952" s="3" t="n"/>
      <c r="B952" s="3" t="n"/>
      <c r="C952" s="3" t="n"/>
      <c r="D952" s="3" t="n"/>
      <c r="E952" s="3" t="n"/>
      <c r="F952" s="3" t="n"/>
      <c r="G952" s="3" t="n"/>
      <c r="H952" s="3" t="n"/>
    </row>
    <row r="953" ht="15.75" customHeight="1" s="21">
      <c r="A953" s="3" t="n"/>
      <c r="B953" s="3" t="n"/>
      <c r="C953" s="3" t="n"/>
      <c r="D953" s="3" t="n"/>
      <c r="E953" s="3" t="n"/>
      <c r="F953" s="3" t="n"/>
      <c r="G953" s="3" t="n"/>
      <c r="H953" s="3" t="n"/>
    </row>
    <row r="954" ht="15.75" customHeight="1" s="21">
      <c r="A954" s="3" t="n"/>
      <c r="B954" s="3" t="n"/>
      <c r="C954" s="3" t="n"/>
      <c r="D954" s="3" t="n"/>
      <c r="E954" s="3" t="n"/>
      <c r="F954" s="3" t="n"/>
      <c r="G954" s="3" t="n"/>
      <c r="H954" s="3" t="n"/>
    </row>
    <row r="955" ht="15.75" customHeight="1" s="21">
      <c r="A955" s="3" t="n"/>
      <c r="B955" s="3" t="n"/>
      <c r="C955" s="3" t="n"/>
      <c r="D955" s="3" t="n"/>
      <c r="E955" s="3" t="n"/>
      <c r="F955" s="3" t="n"/>
      <c r="G955" s="3" t="n"/>
      <c r="H955" s="3" t="n"/>
    </row>
    <row r="956" ht="15.75" customHeight="1" s="21">
      <c r="A956" s="3" t="n"/>
      <c r="B956" s="3" t="n"/>
      <c r="C956" s="3" t="n"/>
      <c r="D956" s="3" t="n"/>
      <c r="E956" s="3" t="n"/>
      <c r="F956" s="3" t="n"/>
      <c r="G956" s="3" t="n"/>
      <c r="H956" s="3" t="n"/>
    </row>
    <row r="957" ht="15.75" customHeight="1" s="21">
      <c r="A957" s="3" t="n"/>
      <c r="B957" s="3" t="n"/>
      <c r="C957" s="3" t="n"/>
      <c r="D957" s="3" t="n"/>
      <c r="E957" s="3" t="n"/>
      <c r="F957" s="3" t="n"/>
      <c r="G957" s="3" t="n"/>
      <c r="H957" s="3" t="n"/>
    </row>
    <row r="958" ht="15.75" customHeight="1" s="21">
      <c r="A958" s="3" t="n"/>
      <c r="B958" s="3" t="n"/>
      <c r="C958" s="3" t="n"/>
      <c r="D958" s="3" t="n"/>
      <c r="E958" s="3" t="n"/>
      <c r="F958" s="3" t="n"/>
      <c r="G958" s="3" t="n"/>
      <c r="H958" s="3" t="n"/>
    </row>
    <row r="959" ht="15.75" customHeight="1" s="21">
      <c r="A959" s="3" t="n"/>
      <c r="B959" s="3" t="n"/>
      <c r="C959" s="3" t="n"/>
      <c r="D959" s="3" t="n"/>
      <c r="E959" s="3" t="n"/>
      <c r="F959" s="3" t="n"/>
      <c r="G959" s="3" t="n"/>
      <c r="H959" s="3" t="n"/>
    </row>
    <row r="960" ht="15.75" customHeight="1" s="21">
      <c r="A960" s="3" t="n"/>
      <c r="B960" s="3" t="n"/>
      <c r="C960" s="3" t="n"/>
      <c r="D960" s="3" t="n"/>
      <c r="E960" s="3" t="n"/>
      <c r="F960" s="3" t="n"/>
      <c r="G960" s="3" t="n"/>
      <c r="H960" s="3" t="n"/>
    </row>
    <row r="961" ht="15.75" customHeight="1" s="21">
      <c r="A961" s="3" t="n"/>
      <c r="B961" s="3" t="n"/>
      <c r="C961" s="3" t="n"/>
      <c r="D961" s="3" t="n"/>
      <c r="E961" s="3" t="n"/>
      <c r="F961" s="3" t="n"/>
      <c r="G961" s="3" t="n"/>
      <c r="H961" s="3" t="n"/>
    </row>
    <row r="962" ht="15.75" customHeight="1" s="21">
      <c r="A962" s="3" t="n"/>
      <c r="B962" s="3" t="n"/>
      <c r="C962" s="3" t="n"/>
      <c r="D962" s="3" t="n"/>
      <c r="E962" s="3" t="n"/>
      <c r="F962" s="3" t="n"/>
      <c r="G962" s="3" t="n"/>
      <c r="H962" s="3" t="n"/>
    </row>
    <row r="963" ht="15.75" customHeight="1" s="21">
      <c r="A963" s="3" t="n"/>
      <c r="B963" s="3" t="n"/>
      <c r="C963" s="3" t="n"/>
      <c r="D963" s="3" t="n"/>
      <c r="E963" s="3" t="n"/>
      <c r="F963" s="3" t="n"/>
      <c r="G963" s="3" t="n"/>
      <c r="H963" s="3" t="n"/>
    </row>
    <row r="964" ht="15.75" customHeight="1" s="21">
      <c r="A964" s="3" t="n"/>
      <c r="B964" s="3" t="n"/>
      <c r="C964" s="3" t="n"/>
      <c r="D964" s="3" t="n"/>
      <c r="E964" s="3" t="n"/>
      <c r="F964" s="3" t="n"/>
      <c r="G964" s="3" t="n"/>
      <c r="H964" s="3" t="n"/>
    </row>
    <row r="965" ht="15.75" customHeight="1" s="21">
      <c r="A965" s="3" t="n"/>
      <c r="B965" s="3" t="n"/>
      <c r="C965" s="3" t="n"/>
      <c r="D965" s="3" t="n"/>
      <c r="E965" s="3" t="n"/>
      <c r="F965" s="3" t="n"/>
      <c r="G965" s="3" t="n"/>
      <c r="H965" s="3" t="n"/>
    </row>
    <row r="966" ht="15.75" customHeight="1" s="21">
      <c r="A966" s="3" t="n"/>
      <c r="B966" s="3" t="n"/>
      <c r="C966" s="3" t="n"/>
      <c r="D966" s="3" t="n"/>
      <c r="E966" s="3" t="n"/>
      <c r="F966" s="3" t="n"/>
      <c r="G966" s="3" t="n"/>
      <c r="H966" s="3" t="n"/>
    </row>
    <row r="967" ht="15.75" customHeight="1" s="21">
      <c r="A967" s="3" t="n"/>
      <c r="B967" s="3" t="n"/>
      <c r="C967" s="3" t="n"/>
      <c r="D967" s="3" t="n"/>
      <c r="E967" s="3" t="n"/>
      <c r="F967" s="3" t="n"/>
      <c r="G967" s="3" t="n"/>
      <c r="H967" s="3" t="n"/>
    </row>
    <row r="968" ht="15.75" customHeight="1" s="21">
      <c r="A968" s="3" t="n"/>
      <c r="B968" s="3" t="n"/>
      <c r="C968" s="3" t="n"/>
      <c r="D968" s="3" t="n"/>
      <c r="E968" s="3" t="n"/>
      <c r="F968" s="3" t="n"/>
      <c r="G968" s="3" t="n"/>
      <c r="H968" s="3" t="n"/>
    </row>
    <row r="969" ht="15.75" customHeight="1" s="21">
      <c r="A969" s="3" t="n"/>
      <c r="B969" s="3" t="n"/>
      <c r="C969" s="3" t="n"/>
      <c r="D969" s="3" t="n"/>
      <c r="E969" s="3" t="n"/>
      <c r="F969" s="3" t="n"/>
      <c r="G969" s="3" t="n"/>
      <c r="H969" s="3" t="n"/>
    </row>
    <row r="970" ht="15.75" customHeight="1" s="21">
      <c r="A970" s="3" t="n"/>
      <c r="B970" s="3" t="n"/>
      <c r="C970" s="3" t="n"/>
      <c r="D970" s="3" t="n"/>
      <c r="E970" s="3" t="n"/>
      <c r="F970" s="3" t="n"/>
      <c r="G970" s="3" t="n"/>
      <c r="H970" s="3" t="n"/>
    </row>
    <row r="971" ht="15.75" customHeight="1" s="21">
      <c r="A971" s="3" t="n"/>
      <c r="B971" s="3" t="n"/>
      <c r="C971" s="3" t="n"/>
      <c r="D971" s="3" t="n"/>
      <c r="E971" s="3" t="n"/>
      <c r="F971" s="3" t="n"/>
      <c r="G971" s="3" t="n"/>
      <c r="H971" s="3" t="n"/>
    </row>
    <row r="972" ht="15.75" customHeight="1" s="21">
      <c r="A972" s="3" t="n"/>
      <c r="B972" s="3" t="n"/>
      <c r="C972" s="3" t="n"/>
      <c r="D972" s="3" t="n"/>
      <c r="E972" s="3" t="n"/>
      <c r="F972" s="3" t="n"/>
      <c r="G972" s="3" t="n"/>
      <c r="H972" s="3" t="n"/>
    </row>
    <row r="973" ht="15.75" customHeight="1" s="21">
      <c r="A973" s="3" t="n"/>
      <c r="B973" s="3" t="n"/>
      <c r="C973" s="3" t="n"/>
      <c r="D973" s="3" t="n"/>
      <c r="E973" s="3" t="n"/>
      <c r="F973" s="3" t="n"/>
      <c r="G973" s="3" t="n"/>
      <c r="H973" s="3" t="n"/>
    </row>
    <row r="974" ht="15.75" customHeight="1" s="21">
      <c r="A974" s="3" t="n"/>
      <c r="B974" s="3" t="n"/>
      <c r="C974" s="3" t="n"/>
      <c r="D974" s="3" t="n"/>
      <c r="E974" s="3" t="n"/>
      <c r="F974" s="3" t="n"/>
      <c r="G974" s="3" t="n"/>
      <c r="H974" s="3" t="n"/>
    </row>
    <row r="975" ht="15.75" customHeight="1" s="21">
      <c r="A975" s="3" t="n"/>
      <c r="B975" s="3" t="n"/>
      <c r="C975" s="3" t="n"/>
      <c r="D975" s="3" t="n"/>
      <c r="E975" s="3" t="n"/>
      <c r="F975" s="3" t="n"/>
      <c r="G975" s="3" t="n"/>
      <c r="H975" s="3" t="n"/>
    </row>
    <row r="976" ht="15.75" customHeight="1" s="21">
      <c r="A976" s="3" t="n"/>
      <c r="B976" s="3" t="n"/>
      <c r="C976" s="3" t="n"/>
      <c r="D976" s="3" t="n"/>
      <c r="E976" s="3" t="n"/>
      <c r="F976" s="3" t="n"/>
      <c r="G976" s="3" t="n"/>
      <c r="H976" s="3" t="n"/>
    </row>
    <row r="977" ht="15.75" customHeight="1" s="21">
      <c r="A977" s="3" t="n"/>
      <c r="B977" s="3" t="n"/>
      <c r="C977" s="3" t="n"/>
      <c r="D977" s="3" t="n"/>
      <c r="E977" s="3" t="n"/>
      <c r="F977" s="3" t="n"/>
      <c r="G977" s="3" t="n"/>
      <c r="H977" s="3" t="n"/>
    </row>
    <row r="978" ht="15.75" customHeight="1" s="21">
      <c r="A978" s="3" t="n"/>
      <c r="B978" s="3" t="n"/>
      <c r="C978" s="3" t="n"/>
      <c r="D978" s="3" t="n"/>
      <c r="E978" s="3" t="n"/>
      <c r="F978" s="3" t="n"/>
      <c r="G978" s="3" t="n"/>
      <c r="H978" s="3" t="n"/>
    </row>
    <row r="979" ht="15.75" customHeight="1" s="21">
      <c r="A979" s="3" t="n"/>
      <c r="B979" s="3" t="n"/>
      <c r="C979" s="3" t="n"/>
      <c r="D979" s="3" t="n"/>
      <c r="E979" s="3" t="n"/>
      <c r="F979" s="3" t="n"/>
      <c r="G979" s="3" t="n"/>
      <c r="H979" s="3" t="n"/>
    </row>
    <row r="980" ht="15.75" customHeight="1" s="21">
      <c r="A980" s="3" t="n"/>
      <c r="B980" s="3" t="n"/>
      <c r="C980" s="3" t="n"/>
      <c r="D980" s="3" t="n"/>
      <c r="E980" s="3" t="n"/>
      <c r="F980" s="3" t="n"/>
      <c r="G980" s="3" t="n"/>
      <c r="H980" s="3" t="n"/>
    </row>
    <row r="981" ht="15.75" customHeight="1" s="21">
      <c r="A981" s="3" t="n"/>
      <c r="B981" s="3" t="n"/>
      <c r="C981" s="3" t="n"/>
      <c r="D981" s="3" t="n"/>
      <c r="E981" s="3" t="n"/>
      <c r="F981" s="3" t="n"/>
      <c r="G981" s="3" t="n"/>
      <c r="H981" s="3" t="n"/>
    </row>
    <row r="982" ht="15.75" customHeight="1" s="21">
      <c r="A982" s="3" t="n"/>
      <c r="B982" s="3" t="n"/>
      <c r="C982" s="3" t="n"/>
      <c r="D982" s="3" t="n"/>
      <c r="E982" s="3" t="n"/>
      <c r="F982" s="3" t="n"/>
      <c r="G982" s="3" t="n"/>
      <c r="H982" s="3" t="n"/>
    </row>
    <row r="983" ht="15.75" customHeight="1" s="21">
      <c r="A983" s="3" t="n"/>
      <c r="B983" s="3" t="n"/>
      <c r="C983" s="3" t="n"/>
      <c r="D983" s="3" t="n"/>
      <c r="E983" s="3" t="n"/>
      <c r="F983" s="3" t="n"/>
      <c r="G983" s="3" t="n"/>
      <c r="H983" s="3" t="n"/>
    </row>
    <row r="984" ht="15.75" customHeight="1" s="21">
      <c r="A984" s="3" t="n"/>
      <c r="B984" s="3" t="n"/>
      <c r="C984" s="3" t="n"/>
      <c r="D984" s="3" t="n"/>
      <c r="E984" s="3" t="n"/>
      <c r="F984" s="3" t="n"/>
      <c r="G984" s="3" t="n"/>
      <c r="H984" s="3" t="n"/>
    </row>
    <row r="985" ht="15.75" customHeight="1" s="21">
      <c r="A985" s="3" t="n"/>
      <c r="B985" s="3" t="n"/>
      <c r="C985" s="3" t="n"/>
      <c r="D985" s="3" t="n"/>
      <c r="E985" s="3" t="n"/>
      <c r="F985" s="3" t="n"/>
      <c r="G985" s="3" t="n"/>
      <c r="H985" s="3" t="n"/>
    </row>
    <row r="986" ht="15.75" customHeight="1" s="21">
      <c r="A986" s="3" t="n"/>
      <c r="B986" s="3" t="n"/>
      <c r="C986" s="3" t="n"/>
      <c r="D986" s="3" t="n"/>
      <c r="E986" s="3" t="n"/>
      <c r="F986" s="3" t="n"/>
      <c r="G986" s="3" t="n"/>
      <c r="H986" s="3" t="n"/>
    </row>
    <row r="987" ht="15.75" customHeight="1" s="21">
      <c r="A987" s="3" t="n"/>
      <c r="B987" s="3" t="n"/>
      <c r="C987" s="3" t="n"/>
      <c r="D987" s="3" t="n"/>
      <c r="E987" s="3" t="n"/>
      <c r="F987" s="3" t="n"/>
      <c r="G987" s="3" t="n"/>
      <c r="H987" s="3" t="n"/>
    </row>
    <row r="988" ht="15.75" customHeight="1" s="21">
      <c r="A988" s="3" t="n"/>
      <c r="B988" s="3" t="n"/>
      <c r="C988" s="3" t="n"/>
      <c r="D988" s="3" t="n"/>
      <c r="E988" s="3" t="n"/>
      <c r="F988" s="3" t="n"/>
      <c r="G988" s="3" t="n"/>
      <c r="H988" s="3" t="n"/>
    </row>
    <row r="989" ht="15.75" customHeight="1" s="21">
      <c r="A989" s="3" t="n"/>
      <c r="B989" s="3" t="n"/>
      <c r="C989" s="3" t="n"/>
      <c r="D989" s="3" t="n"/>
      <c r="E989" s="3" t="n"/>
      <c r="F989" s="3" t="n"/>
      <c r="G989" s="3" t="n"/>
      <c r="H989" s="3" t="n"/>
    </row>
    <row r="990" ht="15.75" customHeight="1" s="21">
      <c r="A990" s="3" t="n"/>
      <c r="B990" s="3" t="n"/>
      <c r="C990" s="3" t="n"/>
      <c r="D990" s="3" t="n"/>
      <c r="E990" s="3" t="n"/>
      <c r="F990" s="3" t="n"/>
      <c r="G990" s="3" t="n"/>
      <c r="H990" s="3" t="n"/>
    </row>
    <row r="991" ht="15.75" customHeight="1" s="21">
      <c r="A991" s="3" t="n"/>
      <c r="B991" s="3" t="n"/>
      <c r="C991" s="3" t="n"/>
      <c r="D991" s="3" t="n"/>
      <c r="E991" s="3" t="n"/>
      <c r="F991" s="3" t="n"/>
      <c r="G991" s="3" t="n"/>
      <c r="H991" s="3" t="n"/>
    </row>
    <row r="992" ht="15.75" customHeight="1" s="21">
      <c r="A992" s="3" t="n"/>
      <c r="B992" s="3" t="n"/>
      <c r="C992" s="3" t="n"/>
      <c r="D992" s="3" t="n"/>
      <c r="E992" s="3" t="n"/>
      <c r="F992" s="3" t="n"/>
      <c r="G992" s="3" t="n"/>
      <c r="H992" s="3" t="n"/>
    </row>
    <row r="993" ht="15.75" customHeight="1" s="21">
      <c r="A993" s="3" t="n"/>
      <c r="B993" s="3" t="n"/>
      <c r="C993" s="3" t="n"/>
      <c r="D993" s="3" t="n"/>
      <c r="E993" s="3" t="n"/>
      <c r="F993" s="3" t="n"/>
      <c r="G993" s="3" t="n"/>
      <c r="H993" s="3" t="n"/>
    </row>
    <row r="994" ht="15.75" customHeight="1" s="21">
      <c r="A994" s="3" t="n"/>
      <c r="B994" s="3" t="n"/>
      <c r="C994" s="3" t="n"/>
      <c r="D994" s="3" t="n"/>
      <c r="E994" s="3" t="n"/>
      <c r="F994" s="3" t="n"/>
      <c r="G994" s="3" t="n"/>
      <c r="H994" s="3" t="n"/>
    </row>
    <row r="995" ht="15.75" customHeight="1" s="21">
      <c r="A995" s="3" t="n"/>
      <c r="B995" s="3" t="n"/>
      <c r="C995" s="3" t="n"/>
      <c r="D995" s="3" t="n"/>
      <c r="E995" s="3" t="n"/>
      <c r="F995" s="3" t="n"/>
      <c r="G995" s="3" t="n"/>
      <c r="H995" s="3" t="n"/>
    </row>
    <row r="996" ht="15.75" customHeight="1" s="21">
      <c r="A996" s="3" t="n"/>
      <c r="B996" s="3" t="n"/>
      <c r="C996" s="3" t="n"/>
      <c r="D996" s="3" t="n"/>
      <c r="E996" s="3" t="n"/>
      <c r="F996" s="3" t="n"/>
      <c r="G996" s="3" t="n"/>
      <c r="H996" s="3" t="n"/>
    </row>
    <row r="997" ht="15.75" customHeight="1" s="21">
      <c r="A997" s="3" t="n"/>
      <c r="B997" s="3" t="n"/>
      <c r="C997" s="3" t="n"/>
      <c r="D997" s="3" t="n"/>
      <c r="E997" s="3" t="n"/>
      <c r="F997" s="3" t="n"/>
      <c r="G997" s="3" t="n"/>
      <c r="H997" s="3" t="n"/>
    </row>
    <row r="998" ht="15.75" customHeight="1" s="21">
      <c r="A998" s="3" t="n"/>
      <c r="B998" s="3" t="n"/>
      <c r="C998" s="3" t="n"/>
      <c r="D998" s="3" t="n"/>
      <c r="E998" s="3" t="n"/>
      <c r="F998" s="3" t="n"/>
      <c r="G998" s="3" t="n"/>
      <c r="H998" s="3" t="n"/>
    </row>
    <row r="999" ht="15.75" customHeight="1" s="21">
      <c r="A999" s="3" t="n"/>
      <c r="B999" s="3" t="n"/>
      <c r="C999" s="3" t="n"/>
      <c r="D999" s="3" t="n"/>
      <c r="E999" s="3" t="n"/>
      <c r="F999" s="3" t="n"/>
      <c r="G999" s="3" t="n"/>
      <c r="H999" s="3" t="n"/>
    </row>
    <row r="1000" ht="15.75" customHeight="1" s="21">
      <c r="A1000" s="3" t="n"/>
      <c r="B1000" s="3" t="n"/>
      <c r="C1000" s="3" t="n"/>
      <c r="D1000" s="3" t="n"/>
      <c r="E1000" s="3" t="n"/>
      <c r="F1000" s="3" t="n"/>
      <c r="G1000" s="3" t="n"/>
      <c r="H1000" s="3" t="n"/>
    </row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style="21" min="1" max="1"/>
    <col width="14" customWidth="1" style="21" min="2" max="2"/>
    <col width="22" customWidth="1" style="21" min="3" max="3"/>
    <col width="35" customWidth="1" style="21" min="4" max="4"/>
    <col width="18" customWidth="1" style="21" min="5" max="5"/>
    <col width="18" customWidth="1" style="21" min="6" max="6"/>
    <col width="20" customWidth="1" style="21" min="7" max="7"/>
    <col width="25" customWidth="1" style="21" min="8" max="8"/>
  </cols>
  <sheetData>
    <row r="1">
      <c r="A1" s="26" t="inlineStr">
        <is>
          <t>CLIENT SESSION TRACKER: MR. BIJAN RAYCHAUDHURY</t>
        </is>
      </c>
    </row>
    <row r="2">
      <c r="A2" s="27" t="inlineStr">
        <is>
          <t>Start Date: 11/10/2025  |  Package Details: Paid 5k for 450m + Paid 5k for 510m (Merged Pkg)  |  Total Package Capacity: 960 Mins</t>
        </is>
      </c>
    </row>
    <row r="4">
      <c r="A4" s="28" t="inlineStr">
        <is>
          <t>Session No.</t>
        </is>
      </c>
      <c r="B4" s="28" t="inlineStr">
        <is>
          <t>Session Date</t>
        </is>
      </c>
      <c r="C4" s="28" t="inlineStr">
        <is>
          <t>Duration (Mins/Value)</t>
        </is>
      </c>
      <c r="D4" s="28" t="inlineStr">
        <is>
          <t>Therapist / Details</t>
        </is>
      </c>
      <c r="E4" s="28" t="inlineStr">
        <is>
          <t>Cumulative Usage</t>
        </is>
      </c>
      <c r="F4" s="28" t="inlineStr">
        <is>
          <t>Remaining Balance</t>
        </is>
      </c>
      <c r="G4" s="28" t="inlineStr">
        <is>
          <t>% Package Consumed</t>
        </is>
      </c>
      <c r="H4" s="28" t="inlineStr">
        <is>
          <t>Prob. Package Over Date</t>
        </is>
      </c>
    </row>
    <row r="5">
      <c r="A5" s="22" t="n">
        <v>1</v>
      </c>
      <c r="B5" s="22" t="inlineStr">
        <is>
          <t>11/10/2025</t>
        </is>
      </c>
      <c r="C5" s="22" t="n">
        <v>90</v>
      </c>
      <c r="D5" s="23" t="inlineStr">
        <is>
          <t>Ritika (90 min)</t>
        </is>
      </c>
      <c r="E5" s="24">
        <f>C5</f>
        <v/>
      </c>
      <c r="F5" s="24">
        <f>960-E5</f>
        <v/>
      </c>
      <c r="G5" s="25">
        <f>E5/960</f>
        <v/>
      </c>
      <c r="H5" s="22">
        <f>IF(G5&gt;=1, "100.0% (Package Over)", TEXT(MIN(G5*100, 99.9), "0.0") &amp; "%")</f>
        <v/>
      </c>
    </row>
    <row r="6">
      <c r="A6" s="22" t="n">
        <v>2</v>
      </c>
      <c r="B6" s="22" t="inlineStr">
        <is>
          <t>23/10/2025</t>
        </is>
      </c>
      <c r="C6" s="22" t="n">
        <v>90</v>
      </c>
      <c r="D6" s="23" t="inlineStr">
        <is>
          <t>Ritika (90 min F.H. Massage)</t>
        </is>
      </c>
      <c r="E6" s="24">
        <f>E5+C6</f>
        <v/>
      </c>
      <c r="F6" s="24">
        <f>960-E6</f>
        <v/>
      </c>
      <c r="G6" s="25">
        <f>E6/960</f>
        <v/>
      </c>
      <c r="H6" s="22">
        <f>IF(G6&gt;=1, "100.0% (Package Over)", TEXT(MIN(G6*100, 99.9), "0.0") &amp; "%")</f>
        <v/>
      </c>
    </row>
    <row r="7">
      <c r="A7" s="22" t="n">
        <v>3</v>
      </c>
      <c r="B7" s="22" t="inlineStr">
        <is>
          <t>28/10/2025</t>
        </is>
      </c>
      <c r="C7" s="22" t="n">
        <v>90</v>
      </c>
      <c r="D7" s="23" t="inlineStr">
        <is>
          <t>Ritika (90 min F.H. Massage)</t>
        </is>
      </c>
      <c r="E7" s="24">
        <f>E6+C7</f>
        <v/>
      </c>
      <c r="F7" s="24">
        <f>960-E7</f>
        <v/>
      </c>
      <c r="G7" s="25">
        <f>E7/960</f>
        <v/>
      </c>
      <c r="H7" s="22">
        <f>IF(G7&gt;=1, "100.0% (Package Over)", TEXT(MIN(G7*100, 99.9), "0.0") &amp; "%")</f>
        <v/>
      </c>
    </row>
    <row r="8">
      <c r="A8" s="22" t="n">
        <v>4</v>
      </c>
      <c r="B8" s="22" t="inlineStr">
        <is>
          <t>16/11/2025</t>
        </is>
      </c>
      <c r="C8" s="22" t="n">
        <v>90</v>
      </c>
      <c r="D8" s="23" t="inlineStr">
        <is>
          <t>Ritika / Riya (90 min)</t>
        </is>
      </c>
      <c r="E8" s="24">
        <f>E7+C8</f>
        <v/>
      </c>
      <c r="F8" s="24">
        <f>960-E8</f>
        <v/>
      </c>
      <c r="G8" s="25">
        <f>E8/960</f>
        <v/>
      </c>
      <c r="H8" s="22">
        <f>IF(G8&gt;=1, "100.0% (Package Over)", TEXT(MIN(G8*100, 99.9), "0.0") &amp; "%")</f>
        <v/>
      </c>
    </row>
    <row r="9">
      <c r="A9" s="22" t="n">
        <v>5</v>
      </c>
      <c r="B9" s="22" t="inlineStr">
        <is>
          <t>29/11/2025</t>
        </is>
      </c>
      <c r="C9" s="22" t="n">
        <v>90</v>
      </c>
      <c r="D9" s="23" t="inlineStr">
        <is>
          <t>Suparna (90 min) [Pkg 1 OVER]</t>
        </is>
      </c>
      <c r="E9" s="24">
        <f>E8+C9</f>
        <v/>
      </c>
      <c r="F9" s="24">
        <f>960-E9</f>
        <v/>
      </c>
      <c r="G9" s="25">
        <f>E9/960</f>
        <v/>
      </c>
      <c r="H9" s="22">
        <f>IF(G9&gt;=1, "100.0% (Package Over)", TEXT(MIN(G9*100, 99.9), "0.0") &amp; "%")</f>
        <v/>
      </c>
    </row>
    <row r="10">
      <c r="A10" s="22" t="n">
        <v>6</v>
      </c>
      <c r="B10" s="22" t="inlineStr">
        <is>
          <t>14/12/2025</t>
        </is>
      </c>
      <c r="C10" s="22" t="n">
        <v>90</v>
      </c>
      <c r="D10" s="23" t="inlineStr">
        <is>
          <t>Riya (90 min Foot Massage)</t>
        </is>
      </c>
      <c r="E10" s="24">
        <f>E9+C10</f>
        <v/>
      </c>
      <c r="F10" s="24">
        <f>960-E10</f>
        <v/>
      </c>
      <c r="G10" s="25">
        <f>E10/960</f>
        <v/>
      </c>
      <c r="H10" s="22">
        <f>IF(G10&gt;=1, "100.0% (Package Over)", TEXT(MIN(G10*100, 99.9), "0.0") &amp; "%")</f>
        <v/>
      </c>
    </row>
    <row r="11">
      <c r="A11" s="22" t="n">
        <v>7</v>
      </c>
      <c r="B11" s="22" t="inlineStr">
        <is>
          <t>11/01/2026</t>
        </is>
      </c>
      <c r="C11" s="22" t="n">
        <v>90</v>
      </c>
      <c r="D11" s="23" t="inlineStr">
        <is>
          <t>Shilam (90 min)</t>
        </is>
      </c>
      <c r="E11" s="24">
        <f>E10+C11</f>
        <v/>
      </c>
      <c r="F11" s="24">
        <f>960-E11</f>
        <v/>
      </c>
      <c r="G11" s="25">
        <f>E11/960</f>
        <v/>
      </c>
      <c r="H11" s="22">
        <f>IF(G11&gt;=1, "100.0% (Package Over)", TEXT(MIN(G11*100, 99.9), "0.0") &amp; "%")</f>
        <v/>
      </c>
    </row>
    <row r="12">
      <c r="A12" s="22" t="n">
        <v>8</v>
      </c>
      <c r="B12" s="22" t="inlineStr">
        <is>
          <t>15/02/2026</t>
        </is>
      </c>
      <c r="C12" s="22" t="n">
        <v>90</v>
      </c>
      <c r="D12" s="23" t="inlineStr">
        <is>
          <t>Riya (90 min F.H. Massage)</t>
        </is>
      </c>
      <c r="E12" s="24">
        <f>E11+C12</f>
        <v/>
      </c>
      <c r="F12" s="24">
        <f>960-E12</f>
        <v/>
      </c>
      <c r="G12" s="25">
        <f>E12/960</f>
        <v/>
      </c>
      <c r="H12" s="22">
        <f>IF(G12&gt;=1, "100.0% (Package Over)", TEXT(MIN(G12*100, 99.9), "0.0") &amp; "%")</f>
        <v/>
      </c>
    </row>
    <row r="13">
      <c r="A13" s="22" t="n">
        <v>9</v>
      </c>
      <c r="B13" s="22" t="inlineStr">
        <is>
          <t>21/03/2026</t>
        </is>
      </c>
      <c r="C13" s="22" t="n">
        <v>90</v>
      </c>
      <c r="D13" s="23" t="inlineStr">
        <is>
          <t>Isha (90 min)</t>
        </is>
      </c>
      <c r="E13" s="24">
        <f>E12+C13</f>
        <v/>
      </c>
      <c r="F13" s="24">
        <f>960-E13</f>
        <v/>
      </c>
      <c r="G13" s="25">
        <f>E13/960</f>
        <v/>
      </c>
      <c r="H13" s="22">
        <f>IF(G13&gt;=1, "100.0% (Package Over)", TEXT(MIN(G13*100, 99.9), "0.0") &amp; "%")</f>
        <v/>
      </c>
    </row>
    <row r="14">
      <c r="A14" s="22" t="n">
        <v>10</v>
      </c>
      <c r="B14" s="22" t="inlineStr">
        <is>
          <t>03/05/2026</t>
        </is>
      </c>
      <c r="C14" s="22" t="n">
        <v>90</v>
      </c>
      <c r="D14" s="23" t="inlineStr">
        <is>
          <t>Isha (90 min)</t>
        </is>
      </c>
      <c r="E14" s="24">
        <f>E13+C14</f>
        <v/>
      </c>
      <c r="F14" s="24">
        <f>960-E14</f>
        <v/>
      </c>
      <c r="G14" s="25">
        <f>E14/960</f>
        <v/>
      </c>
      <c r="H14" s="22">
        <f>IF(G14&gt;=1, "100.0% (Package Over)", TEXT(MIN(G14*100, 99.9), "0.0") &amp; "%")</f>
        <v/>
      </c>
    </row>
    <row r="15">
      <c r="A15" s="22" t="n">
        <v>11</v>
      </c>
      <c r="B15" s="22" t="inlineStr">
        <is>
          <t>09/05/2026</t>
        </is>
      </c>
      <c r="C15" s="22" t="n">
        <v>60</v>
      </c>
      <c r="D15" s="23" t="inlineStr">
        <is>
          <t>Isha (60 min F.H. Massage)</t>
        </is>
      </c>
      <c r="E15" s="24">
        <f>E14+C15</f>
        <v/>
      </c>
      <c r="F15" s="24">
        <f>960-E15</f>
        <v/>
      </c>
      <c r="G15" s="25">
        <f>E15/960</f>
        <v/>
      </c>
      <c r="H15" s="22">
        <f>IF(G15&gt;=1, "100.0% (Package Over)", TEXT(MIN(G15*100, 99.9), "0.0") &amp; "%")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style="21" min="1" max="1"/>
    <col width="14" customWidth="1" style="21" min="2" max="2"/>
    <col width="22" customWidth="1" style="21" min="3" max="3"/>
    <col width="35" customWidth="1" style="21" min="4" max="4"/>
    <col width="18" customWidth="1" style="21" min="5" max="5"/>
    <col width="18" customWidth="1" style="21" min="6" max="6"/>
    <col width="20" customWidth="1" style="21" min="7" max="7"/>
    <col width="25" customWidth="1" style="21" min="8" max="8"/>
  </cols>
  <sheetData>
    <row r="1">
      <c r="A1" s="26" t="inlineStr">
        <is>
          <t>CLIENT SESSION TRACKER: MR. SANJIT BISWAS</t>
        </is>
      </c>
    </row>
    <row r="2">
      <c r="A2" s="27" t="inlineStr">
        <is>
          <t>Start Date: 11/10/2025  |  Package Details: Paid 5k for 7 hrs + Reflexology Offer 5k for 7.5 hrs  |  Total Package Capacity: 870 Mins</t>
        </is>
      </c>
    </row>
    <row r="4">
      <c r="A4" s="28" t="inlineStr">
        <is>
          <t>Session No.</t>
        </is>
      </c>
      <c r="B4" s="28" t="inlineStr">
        <is>
          <t>Session Date</t>
        </is>
      </c>
      <c r="C4" s="28" t="inlineStr">
        <is>
          <t>Duration (Mins/Value)</t>
        </is>
      </c>
      <c r="D4" s="28" t="inlineStr">
        <is>
          <t>Therapist / Details</t>
        </is>
      </c>
      <c r="E4" s="28" t="inlineStr">
        <is>
          <t>Cumulative Usage</t>
        </is>
      </c>
      <c r="F4" s="28" t="inlineStr">
        <is>
          <t>Remaining Balance</t>
        </is>
      </c>
      <c r="G4" s="28" t="inlineStr">
        <is>
          <t>% Package Consumed</t>
        </is>
      </c>
      <c r="H4" s="28" t="inlineStr">
        <is>
          <t>Prob. Package Over Date</t>
        </is>
      </c>
    </row>
    <row r="5">
      <c r="A5" s="22" t="n">
        <v>1</v>
      </c>
      <c r="B5" s="22" t="inlineStr">
        <is>
          <t>11/10/2025</t>
        </is>
      </c>
      <c r="C5" s="22" t="n">
        <v>60</v>
      </c>
      <c r="D5" s="23" t="inlineStr">
        <is>
          <t>Facial 3210 (Soma) - Single Biswas</t>
        </is>
      </c>
      <c r="E5" s="24">
        <f>C5</f>
        <v/>
      </c>
      <c r="F5" s="24">
        <f>870-E5</f>
        <v/>
      </c>
      <c r="G5" s="25">
        <f>E5/870</f>
        <v/>
      </c>
      <c r="H5" s="22">
        <f>IF(G5&gt;=1, "100.0% (Package Over)", TEXT(MIN(G5*100, 99.9), "0.0") &amp; "%")</f>
        <v/>
      </c>
    </row>
    <row r="6">
      <c r="A6" s="22" t="n">
        <v>2</v>
      </c>
      <c r="B6" s="22" t="inlineStr">
        <is>
          <t>18/11/2025</t>
        </is>
      </c>
      <c r="C6" s="22" t="n">
        <v>60</v>
      </c>
      <c r="D6" s="23" t="inlineStr">
        <is>
          <t>Aroma (950) - Single Biswas</t>
        </is>
      </c>
      <c r="E6" s="24">
        <f>E5+C6</f>
        <v/>
      </c>
      <c r="F6" s="24">
        <f>870-E6</f>
        <v/>
      </c>
      <c r="G6" s="25">
        <f>E6/870</f>
        <v/>
      </c>
      <c r="H6" s="22">
        <f>IF(G6&gt;=1, "100.0% (Package Over)", TEXT(MIN(G6*100, 99.9), "0.0") &amp; "%")</f>
        <v/>
      </c>
    </row>
    <row r="7">
      <c r="A7" s="22" t="n">
        <v>3</v>
      </c>
      <c r="B7" s="22" t="inlineStr">
        <is>
          <t>18/11/2025</t>
        </is>
      </c>
      <c r="C7" s="22" t="n">
        <v>60</v>
      </c>
      <c r="D7" s="23" t="inlineStr">
        <is>
          <t>Signature Pedicure (950) - Single Biswas</t>
        </is>
      </c>
      <c r="E7" s="24">
        <f>E6+C7</f>
        <v/>
      </c>
      <c r="F7" s="24">
        <f>870-E7</f>
        <v/>
      </c>
      <c r="G7" s="25">
        <f>E7/870</f>
        <v/>
      </c>
      <c r="H7" s="22">
        <f>IF(G7&gt;=1, "100.0% (Package Over)", TEXT(MIN(G7*100, 99.9), "0.0") &amp; "%")</f>
        <v/>
      </c>
    </row>
    <row r="8">
      <c r="A8" s="22" t="n">
        <v>4</v>
      </c>
      <c r="B8" s="22" t="inlineStr">
        <is>
          <t>08/02/2026</t>
        </is>
      </c>
      <c r="C8" s="22" t="n">
        <v>60</v>
      </c>
      <c r="D8" s="23" t="inlineStr">
        <is>
          <t>Foot + HNS (Sneha 950) - Sanjit Biswas</t>
        </is>
      </c>
      <c r="E8" s="24">
        <f>E7+C8</f>
        <v/>
      </c>
      <c r="F8" s="24">
        <f>870-E8</f>
        <v/>
      </c>
      <c r="G8" s="25">
        <f>E8/870</f>
        <v/>
      </c>
      <c r="H8" s="22">
        <f>IF(G8&gt;=1, "100.0% (Package Over)", TEXT(MIN(G8*100, 99.9), "0.0") &amp; "%")</f>
        <v/>
      </c>
    </row>
    <row r="9">
      <c r="A9" s="22" t="n">
        <v>5</v>
      </c>
      <c r="B9" s="22" t="inlineStr">
        <is>
          <t>01/05/2026</t>
        </is>
      </c>
      <c r="C9" s="22" t="n">
        <v>60</v>
      </c>
      <c r="D9" s="23" t="inlineStr">
        <is>
          <t>Foot + HNS (Daliya 950) - Sanjit Biswas</t>
        </is>
      </c>
      <c r="E9" s="24">
        <f>E8+C9</f>
        <v/>
      </c>
      <c r="F9" s="24">
        <f>870-E9</f>
        <v/>
      </c>
      <c r="G9" s="25">
        <f>E9/870</f>
        <v/>
      </c>
      <c r="H9" s="22">
        <f>IF(G9&gt;=1, "100.0% (Package Over)", TEXT(MIN(G9*100, 99.9), "0.0") &amp; "%")</f>
        <v/>
      </c>
    </row>
    <row r="10">
      <c r="A10" s="22" t="n">
        <v>6</v>
      </c>
      <c r="B10" s="22" t="inlineStr">
        <is>
          <t>12/07/2026</t>
        </is>
      </c>
      <c r="C10" s="22" t="n">
        <v>120</v>
      </c>
      <c r="D10" s="23" t="inlineStr">
        <is>
          <t>FHNS (Bipasha 800) - Biswas (150 paid)</t>
        </is>
      </c>
      <c r="E10" s="24">
        <f>E9+C10</f>
        <v/>
      </c>
      <c r="F10" s="24">
        <f>870-E10</f>
        <v/>
      </c>
      <c r="G10" s="25">
        <f>E10/870</f>
        <v/>
      </c>
      <c r="H10" s="22">
        <f>IF(G10&gt;=1, "100.0% (Package Over)", TEXT(MIN(G10*100, 99.9), "0.0") &amp; "%")</f>
        <v/>
      </c>
    </row>
    <row r="11">
      <c r="A11" s="22" t="n">
        <v>7</v>
      </c>
      <c r="B11" s="22" t="inlineStr">
        <is>
          <t>12/07/2026</t>
        </is>
      </c>
      <c r="C11" s="22" t="n">
        <v>30</v>
      </c>
      <c r="D11" s="23" t="inlineStr">
        <is>
          <t>Back Therapy (30 min - Ankit)</t>
        </is>
      </c>
      <c r="E11" s="24">
        <f>E10+C11</f>
        <v/>
      </c>
      <c r="F11" s="24">
        <f>870-E11</f>
        <v/>
      </c>
      <c r="G11" s="25">
        <f>E11/870</f>
        <v/>
      </c>
      <c r="H11" s="22">
        <f>IF(G11&gt;=1, "100.0% (Package Over)", TEXT(MIN(G11*100, 99.9), "0.0") &amp; "%")</f>
        <v/>
      </c>
    </row>
    <row r="12">
      <c r="A12" s="22" t="n">
        <v>8</v>
      </c>
      <c r="B12" s="22" t="inlineStr">
        <is>
          <t>16/08/2026</t>
        </is>
      </c>
      <c r="C12" s="22" t="n">
        <v>60</v>
      </c>
      <c r="D12" s="23" t="inlineStr">
        <is>
          <t>FHNS (60 min - Ankit + Bipasha)</t>
        </is>
      </c>
      <c r="E12" s="24">
        <f>E11+C12</f>
        <v/>
      </c>
      <c r="F12" s="24">
        <f>870-E12</f>
        <v/>
      </c>
      <c r="G12" s="25">
        <f>E12/870</f>
        <v/>
      </c>
      <c r="H12" s="22">
        <f>IF(G12&gt;=1, "100.0% (Package Over)", TEXT(MIN(G12*100, 99.9), "0.0") &amp; "%")</f>
        <v/>
      </c>
    </row>
    <row r="13">
      <c r="A13" s="22" t="n">
        <v>9</v>
      </c>
      <c r="B13" s="22" t="inlineStr">
        <is>
          <t>18/08/2026</t>
        </is>
      </c>
      <c r="C13" s="22" t="n">
        <v>60</v>
      </c>
      <c r="D13" s="23" t="inlineStr">
        <is>
          <t>FHNS (60 min - Pinky)</t>
        </is>
      </c>
      <c r="E13" s="24">
        <f>E12+C13</f>
        <v/>
      </c>
      <c r="F13" s="24">
        <f>870-E13</f>
        <v/>
      </c>
      <c r="G13" s="25">
        <f>E13/870</f>
        <v/>
      </c>
      <c r="H13" s="22">
        <f>IF(G13&gt;=1, "100.0% (Package Over)", TEXT(MIN(G13*100, 99.9), "0.0") &amp; "%")</f>
        <v/>
      </c>
    </row>
    <row r="14">
      <c r="A14" s="22" t="n">
        <v>10</v>
      </c>
      <c r="B14" s="22" t="inlineStr">
        <is>
          <t>22/08/2026</t>
        </is>
      </c>
      <c r="C14" s="22" t="n">
        <v>60</v>
      </c>
      <c r="D14" s="23" t="inlineStr">
        <is>
          <t>FHNS (60 min - Riya)</t>
        </is>
      </c>
      <c r="E14" s="24">
        <f>E13+C14</f>
        <v/>
      </c>
      <c r="F14" s="24">
        <f>870-E14</f>
        <v/>
      </c>
      <c r="G14" s="25">
        <f>E14/870</f>
        <v/>
      </c>
      <c r="H14" s="22">
        <f>IF(G14&gt;=1, "100.0% (Package Over)", TEXT(MIN(G14*100, 99.9), "0.0") &amp; "%")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style="21" min="1" max="1"/>
    <col width="14" customWidth="1" style="21" min="2" max="2"/>
    <col width="22" customWidth="1" style="21" min="3" max="3"/>
    <col width="35" customWidth="1" style="21" min="4" max="4"/>
    <col width="18" customWidth="1" style="21" min="5" max="5"/>
    <col width="18" customWidth="1" style="21" min="6" max="6"/>
    <col width="20" customWidth="1" style="21" min="7" max="7"/>
    <col width="25" customWidth="1" style="21" min="8" max="8"/>
  </cols>
  <sheetData>
    <row r="1">
      <c r="A1" s="26" t="inlineStr">
        <is>
          <t>CLIENT SESSION TRACKER: MRS. RAKHI SENAPATI</t>
        </is>
      </c>
    </row>
    <row r="2">
      <c r="A2" s="27" t="inlineStr">
        <is>
          <t>Start Date: 17/10/2025  |  Package Details: Paid 5k for 10 Sessions (600 Mins)  |  Total Package Capacity: 600 Mins</t>
        </is>
      </c>
    </row>
    <row r="4">
      <c r="A4" s="28" t="inlineStr">
        <is>
          <t>Session No.</t>
        </is>
      </c>
      <c r="B4" s="28" t="inlineStr">
        <is>
          <t>Session Date</t>
        </is>
      </c>
      <c r="C4" s="28" t="inlineStr">
        <is>
          <t>Duration (Mins/Value)</t>
        </is>
      </c>
      <c r="D4" s="28" t="inlineStr">
        <is>
          <t>Therapist / Details</t>
        </is>
      </c>
      <c r="E4" s="28" t="inlineStr">
        <is>
          <t>Cumulative Usage</t>
        </is>
      </c>
      <c r="F4" s="28" t="inlineStr">
        <is>
          <t>Remaining Balance</t>
        </is>
      </c>
      <c r="G4" s="28" t="inlineStr">
        <is>
          <t>% Package Consumed</t>
        </is>
      </c>
      <c r="H4" s="28" t="inlineStr">
        <is>
          <t>Prob. Package Over Date</t>
        </is>
      </c>
    </row>
    <row r="5">
      <c r="A5" s="22" t="n">
        <v>1</v>
      </c>
      <c r="B5" s="22" t="inlineStr">
        <is>
          <t>17/10/2025</t>
        </is>
      </c>
      <c r="C5" s="22" t="n">
        <v>60</v>
      </c>
      <c r="D5" s="23" t="inlineStr">
        <is>
          <t>Pedicure (Soma)</t>
        </is>
      </c>
      <c r="E5" s="24">
        <f>C5</f>
        <v/>
      </c>
      <c r="F5" s="24">
        <f>600-E5</f>
        <v/>
      </c>
      <c r="G5" s="25">
        <f>E5/600</f>
        <v/>
      </c>
      <c r="H5" s="22">
        <f>IF(G5&gt;=1, "100.0% (Package Over)", TEXT(MIN(G5*100, 99.9), "0.0") &amp; "%")</f>
        <v/>
      </c>
    </row>
    <row r="6">
      <c r="A6" s="22" t="n">
        <v>2</v>
      </c>
      <c r="B6" s="22" t="inlineStr">
        <is>
          <t>27/10/2025</t>
        </is>
      </c>
      <c r="C6" s="22" t="n">
        <v>60</v>
      </c>
      <c r="D6" s="23" t="inlineStr">
        <is>
          <t>Foot (Ritvika)</t>
        </is>
      </c>
      <c r="E6" s="24">
        <f>E5+C6</f>
        <v/>
      </c>
      <c r="F6" s="24">
        <f>600-E6</f>
        <v/>
      </c>
      <c r="G6" s="25">
        <f>E6/600</f>
        <v/>
      </c>
      <c r="H6" s="22">
        <f>IF(G6&gt;=1, "100.0% (Package Over)", TEXT(MIN(G6*100, 99.9), "0.0") &amp; "%")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style="21" min="1" max="1"/>
    <col width="14" customWidth="1" style="21" min="2" max="2"/>
    <col width="22" customWidth="1" style="21" min="3" max="3"/>
    <col width="35" customWidth="1" style="21" min="4" max="4"/>
    <col width="18" customWidth="1" style="21" min="5" max="5"/>
    <col width="18" customWidth="1" style="21" min="6" max="6"/>
    <col width="20" customWidth="1" style="21" min="7" max="7"/>
    <col width="25" customWidth="1" style="21" min="8" max="8"/>
  </cols>
  <sheetData>
    <row r="1">
      <c r="A1" s="26" t="inlineStr">
        <is>
          <t>CLIENT SESSION TRACKER: MRS. MONALI SENGUPTA (9163526861)</t>
        </is>
      </c>
    </row>
    <row r="2">
      <c r="A2" s="27" t="inlineStr">
        <is>
          <t>Start Date: 19/10/2025  |  Package Details: Paid 5k for 7 hrs (420 Mins) | Phone: 9163526861  |  Total Package Capacity: 420 Mins</t>
        </is>
      </c>
    </row>
    <row r="4">
      <c r="A4" s="28" t="inlineStr">
        <is>
          <t>Session No.</t>
        </is>
      </c>
      <c r="B4" s="28" t="inlineStr">
        <is>
          <t>Session Date</t>
        </is>
      </c>
      <c r="C4" s="28" t="inlineStr">
        <is>
          <t>Duration (Mins/Value)</t>
        </is>
      </c>
      <c r="D4" s="28" t="inlineStr">
        <is>
          <t>Therapist / Details</t>
        </is>
      </c>
      <c r="E4" s="28" t="inlineStr">
        <is>
          <t>Cumulative Usage</t>
        </is>
      </c>
      <c r="F4" s="28" t="inlineStr">
        <is>
          <t>Remaining Balance</t>
        </is>
      </c>
      <c r="G4" s="28" t="inlineStr">
        <is>
          <t>% Package Consumed</t>
        </is>
      </c>
      <c r="H4" s="28" t="inlineStr">
        <is>
          <t>Prob. Package Over Date</t>
        </is>
      </c>
    </row>
    <row r="5">
      <c r="A5" s="22" t="n">
        <v>1</v>
      </c>
      <c r="B5" s="22" t="inlineStr">
        <is>
          <t>19/10/2025</t>
        </is>
      </c>
      <c r="C5" s="22" t="n">
        <v>60</v>
      </c>
      <c r="D5" s="23" t="inlineStr">
        <is>
          <t>Soma (60 min - 1990)</t>
        </is>
      </c>
      <c r="E5" s="24">
        <f>C5</f>
        <v/>
      </c>
      <c r="F5" s="24">
        <f>420-E5</f>
        <v/>
      </c>
      <c r="G5" s="25">
        <f>E5/420</f>
        <v/>
      </c>
      <c r="H5" s="22">
        <f>IF(G5&gt;=1, "100.0% (Package Over)", TEXT(MIN(G5*100, 99.9), "0.0") &amp; "%")</f>
        <v/>
      </c>
    </row>
    <row r="6">
      <c r="A6" s="22" t="n">
        <v>2</v>
      </c>
      <c r="B6" s="22" t="inlineStr">
        <is>
          <t>19/10/2025</t>
        </is>
      </c>
      <c r="C6" s="22" t="n">
        <v>60</v>
      </c>
      <c r="D6" s="23" t="inlineStr">
        <is>
          <t>Ritvika</t>
        </is>
      </c>
      <c r="E6" s="24">
        <f>E5+C6</f>
        <v/>
      </c>
      <c r="F6" s="24">
        <f>420-E6</f>
        <v/>
      </c>
      <c r="G6" s="25">
        <f>E6/420</f>
        <v/>
      </c>
      <c r="H6" s="22">
        <f>IF(G6&gt;=1, "100.0% (Package Over)", TEXT(MIN(G6*100, 99.9), "0.0") &amp; "%")</f>
        <v/>
      </c>
    </row>
    <row r="7">
      <c r="A7" s="22" t="n">
        <v>3</v>
      </c>
      <c r="B7" s="22" t="inlineStr">
        <is>
          <t>25/11/2025</t>
        </is>
      </c>
      <c r="C7" s="22" t="n">
        <v>60</v>
      </c>
      <c r="D7" s="23" t="inlineStr">
        <is>
          <t>Ritvika</t>
        </is>
      </c>
      <c r="E7" s="24">
        <f>E6+C7</f>
        <v/>
      </c>
      <c r="F7" s="24">
        <f>420-E7</f>
        <v/>
      </c>
      <c r="G7" s="25">
        <f>E7/420</f>
        <v/>
      </c>
      <c r="H7" s="22">
        <f>IF(G7&gt;=1, "100.0% (Package Over)", TEXT(MIN(G7*100, 99.9), "0.0") &amp; "%")</f>
        <v/>
      </c>
    </row>
    <row r="8">
      <c r="A8" s="22" t="n">
        <v>4</v>
      </c>
      <c r="B8" s="22" t="inlineStr">
        <is>
          <t>25/11/2025</t>
        </is>
      </c>
      <c r="C8" s="22" t="n">
        <v>60</v>
      </c>
      <c r="D8" s="23" t="inlineStr">
        <is>
          <t>Soma</t>
        </is>
      </c>
      <c r="E8" s="24">
        <f>E7+C8</f>
        <v/>
      </c>
      <c r="F8" s="24">
        <f>420-E8</f>
        <v/>
      </c>
      <c r="G8" s="25">
        <f>E8/420</f>
        <v/>
      </c>
      <c r="H8" s="22">
        <f>IF(G8&gt;=1, "100.0% (Package Over)", TEXT(MIN(G8*100, 99.9), "0.0") &amp; "%")</f>
        <v/>
      </c>
    </row>
    <row r="9">
      <c r="A9" s="22" t="n">
        <v>5</v>
      </c>
      <c r="B9" s="22" t="inlineStr">
        <is>
          <t>06/01/2026</t>
        </is>
      </c>
      <c r="C9" s="22" t="n">
        <v>60</v>
      </c>
      <c r="D9" s="23" t="inlineStr">
        <is>
          <t>Riya (60 min Deluxe Pedicure - 650)</t>
        </is>
      </c>
      <c r="E9" s="24">
        <f>E8+C9</f>
        <v/>
      </c>
      <c r="F9" s="24">
        <f>420-E9</f>
        <v/>
      </c>
      <c r="G9" s="25">
        <f>E9/420</f>
        <v/>
      </c>
      <c r="H9" s="22">
        <f>IF(G9&gt;=1, "100.0% (Package Over)", TEXT(MIN(G9*100, 99.9), "0.0") &amp; "%")</f>
        <v/>
      </c>
    </row>
    <row r="10">
      <c r="A10" s="22" t="n">
        <v>6</v>
      </c>
      <c r="B10" s="22" t="inlineStr">
        <is>
          <t>20/01/2026</t>
        </is>
      </c>
      <c r="C10" s="22" t="n">
        <v>60</v>
      </c>
      <c r="D10" s="23" t="inlineStr">
        <is>
          <t>Foot Therapy (Soma - 950)</t>
        </is>
      </c>
      <c r="E10" s="24">
        <f>E9+C10</f>
        <v/>
      </c>
      <c r="F10" s="24">
        <f>420-E10</f>
        <v/>
      </c>
      <c r="G10" s="25">
        <f>E10/420</f>
        <v/>
      </c>
      <c r="H10" s="22">
        <f>IF(G10&gt;=1, "100.0% (Package Over)", TEXT(MIN(G10*100, 99.9), "0.0") &amp; "%")</f>
        <v/>
      </c>
    </row>
    <row r="11">
      <c r="A11" s="22" t="n">
        <v>7</v>
      </c>
      <c r="B11" s="22" t="inlineStr">
        <is>
          <t>18/08/2026</t>
        </is>
      </c>
      <c r="C11" s="22" t="n">
        <v>60</v>
      </c>
      <c r="D11" s="23" t="inlineStr">
        <is>
          <t>Foot Therapy (60 min - 950, Paying 1600 - 650 left)</t>
        </is>
      </c>
      <c r="E11" s="24">
        <f>E10+C11</f>
        <v/>
      </c>
      <c r="F11" s="24">
        <f>420-E11</f>
        <v/>
      </c>
      <c r="G11" s="25">
        <f>E11/420</f>
        <v/>
      </c>
      <c r="H11" s="22">
        <f>IF(G11&gt;=1, "100.0% (Package Over)", TEXT(MIN(G11*100, 99.9), "0.0") &amp; "%")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style="21" min="1" max="1"/>
    <col width="14" customWidth="1" style="21" min="2" max="2"/>
    <col width="22" customWidth="1" style="21" min="3" max="3"/>
    <col width="35" customWidth="1" style="21" min="4" max="4"/>
    <col width="18" customWidth="1" style="21" min="5" max="5"/>
    <col width="18" customWidth="1" style="21" min="6" max="6"/>
    <col width="20" customWidth="1" style="21" min="7" max="7"/>
    <col width="25" customWidth="1" style="21" min="8" max="8"/>
  </cols>
  <sheetData>
    <row r="1">
      <c r="A1" s="26" t="inlineStr">
        <is>
          <t>CLIENT SESSION TRACKER: MR. SUBHABRATA ROY</t>
        </is>
      </c>
    </row>
    <row r="2">
      <c r="A2" s="27" t="inlineStr">
        <is>
          <t>Start Date: 13/03/2026  |  Package Details: Paid 20k for 30 hrs (1800 Mins)  |  Total Package Capacity: 1800 Mins</t>
        </is>
      </c>
    </row>
    <row r="4">
      <c r="A4" s="28" t="inlineStr">
        <is>
          <t>Session No.</t>
        </is>
      </c>
      <c r="B4" s="28" t="inlineStr">
        <is>
          <t>Session Date</t>
        </is>
      </c>
      <c r="C4" s="28" t="inlineStr">
        <is>
          <t>Duration (Mins/Value)</t>
        </is>
      </c>
      <c r="D4" s="28" t="inlineStr">
        <is>
          <t>Therapist / Details</t>
        </is>
      </c>
      <c r="E4" s="28" t="inlineStr">
        <is>
          <t>Cumulative Usage</t>
        </is>
      </c>
      <c r="F4" s="28" t="inlineStr">
        <is>
          <t>Remaining Balance</t>
        </is>
      </c>
      <c r="G4" s="28" t="inlineStr">
        <is>
          <t>% Package Consumed</t>
        </is>
      </c>
      <c r="H4" s="28" t="inlineStr">
        <is>
          <t>Prob. Package Over Date</t>
        </is>
      </c>
    </row>
    <row r="5">
      <c r="A5" s="22" t="n">
        <v>1</v>
      </c>
      <c r="B5" s="22" t="inlineStr">
        <is>
          <t>13/03/2026</t>
        </is>
      </c>
      <c r="C5" s="22" t="n">
        <v>60</v>
      </c>
      <c r="D5" s="23" t="inlineStr">
        <is>
          <t>Foot (Shei)</t>
        </is>
      </c>
      <c r="E5" s="24">
        <f>C5</f>
        <v/>
      </c>
      <c r="F5" s="24">
        <f>1800-E5</f>
        <v/>
      </c>
      <c r="G5" s="25">
        <f>E5/1800</f>
        <v/>
      </c>
      <c r="H5" s="22">
        <f>IF(G5&gt;=1, "100.0% (Package Over)", TEXT(MIN(G5*100, 99.9), "0.0") &amp; "%")</f>
        <v/>
      </c>
    </row>
    <row r="6">
      <c r="A6" s="22" t="n">
        <v>2</v>
      </c>
      <c r="B6" s="22" t="inlineStr">
        <is>
          <t>13/03/2026</t>
        </is>
      </c>
      <c r="C6" s="22" t="n">
        <v>60</v>
      </c>
      <c r="D6" s="23" t="inlineStr">
        <is>
          <t>FHNS (Daliya)</t>
        </is>
      </c>
      <c r="E6" s="24">
        <f>E5+C6</f>
        <v/>
      </c>
      <c r="F6" s="24">
        <f>1800-E6</f>
        <v/>
      </c>
      <c r="G6" s="25">
        <f>E6/1800</f>
        <v/>
      </c>
      <c r="H6" s="22">
        <f>IF(G6&gt;=1, "100.0% (Package Over)", TEXT(MIN(G6*100, 99.9), "0.0") &amp; "%")</f>
        <v/>
      </c>
    </row>
    <row r="7">
      <c r="A7" s="22" t="n">
        <v>3</v>
      </c>
      <c r="B7" s="22" t="inlineStr">
        <is>
          <t>24/03/2026</t>
        </is>
      </c>
      <c r="C7" s="22" t="n">
        <v>120</v>
      </c>
      <c r="D7" s="23" t="inlineStr">
        <is>
          <t>FHNS (Soma)</t>
        </is>
      </c>
      <c r="E7" s="24">
        <f>E6+C7</f>
        <v/>
      </c>
      <c r="F7" s="24">
        <f>1800-E7</f>
        <v/>
      </c>
      <c r="G7" s="25">
        <f>E7/1800</f>
        <v/>
      </c>
      <c r="H7" s="22">
        <f>IF(G7&gt;=1, "100.0% (Package Over)", TEXT(MIN(G7*100, 99.9), "0.0") &amp; "%")</f>
        <v/>
      </c>
    </row>
    <row r="8">
      <c r="A8" s="22" t="n">
        <v>4</v>
      </c>
      <c r="B8" s="22" t="inlineStr">
        <is>
          <t>09/04/2026</t>
        </is>
      </c>
      <c r="C8" s="22" t="n">
        <v>120</v>
      </c>
      <c r="D8" s="23" t="inlineStr">
        <is>
          <t>FHNS (Isha)</t>
        </is>
      </c>
      <c r="E8" s="24">
        <f>E7+C8</f>
        <v/>
      </c>
      <c r="F8" s="24">
        <f>1800-E8</f>
        <v/>
      </c>
      <c r="G8" s="25">
        <f>E8/1800</f>
        <v/>
      </c>
      <c r="H8" s="22">
        <f>IF(G8&gt;=1, "100.0% (Package Over)", TEXT(MIN(G8*100, 99.9), "0.0") &amp; "%")</f>
        <v/>
      </c>
    </row>
    <row r="9">
      <c r="A9" s="22" t="n">
        <v>5</v>
      </c>
      <c r="B9" s="22" t="inlineStr">
        <is>
          <t>30/04/2026</t>
        </is>
      </c>
      <c r="C9" s="22" t="n">
        <v>120</v>
      </c>
      <c r="D9" s="23" t="inlineStr">
        <is>
          <t>FHNS (Isha)</t>
        </is>
      </c>
      <c r="E9" s="24">
        <f>E8+C9</f>
        <v/>
      </c>
      <c r="F9" s="24">
        <f>1800-E9</f>
        <v/>
      </c>
      <c r="G9" s="25">
        <f>E9/1800</f>
        <v/>
      </c>
      <c r="H9" s="22">
        <f>IF(G9&gt;=1, "100.0% (Package Over)", TEXT(MIN(G9*100, 99.9), "0.0") &amp; "%")</f>
        <v/>
      </c>
    </row>
    <row r="10">
      <c r="A10" s="22" t="n">
        <v>6</v>
      </c>
      <c r="B10" s="22" t="inlineStr">
        <is>
          <t>15/05/2026</t>
        </is>
      </c>
      <c r="C10" s="22" t="n">
        <v>90</v>
      </c>
      <c r="D10" s="23" t="inlineStr">
        <is>
          <t>FHNS (Riya)</t>
        </is>
      </c>
      <c r="E10" s="24">
        <f>E9+C10</f>
        <v/>
      </c>
      <c r="F10" s="24">
        <f>1800-E10</f>
        <v/>
      </c>
      <c r="G10" s="25">
        <f>E10/1800</f>
        <v/>
      </c>
      <c r="H10" s="22">
        <f>IF(G10&gt;=1, "100.0% (Package Over)", TEXT(MIN(G10*100, 99.9), "0.0") &amp; "%")</f>
        <v/>
      </c>
    </row>
    <row r="11">
      <c r="A11" s="22" t="n">
        <v>7</v>
      </c>
      <c r="B11" s="22" t="inlineStr">
        <is>
          <t>10/06/2026</t>
        </is>
      </c>
      <c r="C11" s="22" t="n">
        <v>90</v>
      </c>
      <c r="D11" s="23" t="inlineStr">
        <is>
          <t>FHNS (Bipasha)</t>
        </is>
      </c>
      <c r="E11" s="24">
        <f>E10+C11</f>
        <v/>
      </c>
      <c r="F11" s="24">
        <f>1800-E11</f>
        <v/>
      </c>
      <c r="G11" s="25">
        <f>E11/1800</f>
        <v/>
      </c>
      <c r="H11" s="22">
        <f>IF(G11&gt;=1, "100.0% (Package Over)", TEXT(MIN(G11*100, 99.9), "0.0") &amp; "%")</f>
        <v/>
      </c>
    </row>
    <row r="12">
      <c r="A12" s="22" t="n">
        <v>8</v>
      </c>
      <c r="B12" s="22" t="inlineStr">
        <is>
          <t>22/06/2026</t>
        </is>
      </c>
      <c r="C12" s="22" t="n">
        <v>90</v>
      </c>
      <c r="D12" s="23" t="inlineStr">
        <is>
          <t>FHNS (Bipasha)</t>
        </is>
      </c>
      <c r="E12" s="24">
        <f>E11+C12</f>
        <v/>
      </c>
      <c r="F12" s="24">
        <f>1800-E12</f>
        <v/>
      </c>
      <c r="G12" s="25">
        <f>E12/1800</f>
        <v/>
      </c>
      <c r="H12" s="22">
        <f>IF(G12&gt;=1, "100.0% (Package Over)", TEXT(MIN(G12*100, 99.9), "0.0") &amp; "%")</f>
        <v/>
      </c>
    </row>
    <row r="13">
      <c r="A13" s="22" t="n">
        <v>9</v>
      </c>
      <c r="B13" s="22" t="inlineStr">
        <is>
          <t>30/06/2026</t>
        </is>
      </c>
      <c r="C13" s="22" t="n">
        <v>120</v>
      </c>
      <c r="D13" s="23" t="inlineStr">
        <is>
          <t>FHNS (Bipasha)</t>
        </is>
      </c>
      <c r="E13" s="24">
        <f>E12+C13</f>
        <v/>
      </c>
      <c r="F13" s="24">
        <f>1800-E13</f>
        <v/>
      </c>
      <c r="G13" s="25">
        <f>E13/1800</f>
        <v/>
      </c>
      <c r="H13" s="22">
        <f>IF(G13&gt;=1, "100.0% (Package Over)", TEXT(MIN(G13*100, 99.9), "0.0") &amp; "%")</f>
        <v/>
      </c>
    </row>
    <row r="14">
      <c r="A14" s="22" t="n">
        <v>10</v>
      </c>
      <c r="B14" s="22" t="inlineStr">
        <is>
          <t>09/07/2026</t>
        </is>
      </c>
      <c r="C14" s="22" t="n">
        <v>90</v>
      </c>
      <c r="D14" s="23" t="inlineStr">
        <is>
          <t>FHNS (Puja)</t>
        </is>
      </c>
      <c r="E14" s="24">
        <f>E13+C14</f>
        <v/>
      </c>
      <c r="F14" s="24">
        <f>1800-E14</f>
        <v/>
      </c>
      <c r="G14" s="25">
        <f>E14/1800</f>
        <v/>
      </c>
      <c r="H14" s="22">
        <f>IF(G14&gt;=1, "100.0% (Package Over)", TEXT(MIN(G14*100, 99.9), "0.0") &amp; "%")</f>
        <v/>
      </c>
    </row>
    <row r="15">
      <c r="A15" s="22" t="n">
        <v>11</v>
      </c>
      <c r="B15" s="22" t="inlineStr">
        <is>
          <t>21/07/2026</t>
        </is>
      </c>
      <c r="C15" s="22" t="n">
        <v>90</v>
      </c>
      <c r="D15" s="23" t="inlineStr">
        <is>
          <t>FHNS (Puja)</t>
        </is>
      </c>
      <c r="E15" s="24">
        <f>E14+C15</f>
        <v/>
      </c>
      <c r="F15" s="24">
        <f>1800-E15</f>
        <v/>
      </c>
      <c r="G15" s="25">
        <f>E15/1800</f>
        <v/>
      </c>
      <c r="H15" s="22">
        <f>IF(G15&gt;=1, "100.0% (Package Over)", TEXT(MIN(G15*100, 99.9), "0.0") &amp; "%")</f>
        <v/>
      </c>
    </row>
    <row r="16">
      <c r="A16" s="22" t="n">
        <v>12</v>
      </c>
      <c r="B16" s="22" t="inlineStr">
        <is>
          <t>21/07/2026</t>
        </is>
      </c>
      <c r="C16" s="22" t="n">
        <v>120</v>
      </c>
      <c r="D16" s="23" t="inlineStr">
        <is>
          <t>FHNS (Ankit)</t>
        </is>
      </c>
      <c r="E16" s="24">
        <f>E15+C16</f>
        <v/>
      </c>
      <c r="F16" s="24">
        <f>1800-E16</f>
        <v/>
      </c>
      <c r="G16" s="25">
        <f>E16/1800</f>
        <v/>
      </c>
      <c r="H16" s="22">
        <f>IF(G16&gt;=1, "100.0% (Package Over)", TEXT(MIN(G16*100, 99.9), "0.0") &amp; "%")</f>
        <v/>
      </c>
    </row>
    <row r="17">
      <c r="A17" s="22" t="n">
        <v>13</v>
      </c>
      <c r="B17" s="22" t="inlineStr">
        <is>
          <t>21/08/2026</t>
        </is>
      </c>
      <c r="C17" s="22" t="n">
        <v>90</v>
      </c>
      <c r="D17" s="23" t="inlineStr">
        <is>
          <t>FHNS (Pinky)</t>
        </is>
      </c>
      <c r="E17" s="24">
        <f>E16+C17</f>
        <v/>
      </c>
      <c r="F17" s="24">
        <f>1800-E17</f>
        <v/>
      </c>
      <c r="G17" s="25">
        <f>E17/1800</f>
        <v/>
      </c>
      <c r="H17" s="22">
        <f>IF(G17&gt;=1, "100.0% (Package Over)", TEXT(MIN(G17*100, 99.9), "0.0") &amp; "%")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style="21" min="1" max="1"/>
    <col width="14" customWidth="1" style="21" min="2" max="2"/>
    <col width="22" customWidth="1" style="21" min="3" max="3"/>
    <col width="35" customWidth="1" style="21" min="4" max="4"/>
    <col width="18" customWidth="1" style="21" min="5" max="5"/>
    <col width="18" customWidth="1" style="21" min="6" max="6"/>
    <col width="20" customWidth="1" style="21" min="7" max="7"/>
    <col width="25" customWidth="1" style="21" min="8" max="8"/>
  </cols>
  <sheetData>
    <row r="1">
      <c r="A1" s="26" t="inlineStr">
        <is>
          <t>CLIENT SESSION TRACKER: MR. PALAS SARKAR</t>
        </is>
      </c>
    </row>
    <row r="2">
      <c r="A2" s="27" t="inlineStr">
        <is>
          <t>Start Date: 21/10/2025  |  Package Details: Total 5k for 10 hrs (600 Mins) | Paid 1950, Due 3050 Paid  |  Total Package Capacity: 600 Mins</t>
        </is>
      </c>
    </row>
    <row r="4">
      <c r="A4" s="28" t="inlineStr">
        <is>
          <t>Session No.</t>
        </is>
      </c>
      <c r="B4" s="28" t="inlineStr">
        <is>
          <t>Session Date</t>
        </is>
      </c>
      <c r="C4" s="28" t="inlineStr">
        <is>
          <t>Duration (Mins/Value)</t>
        </is>
      </c>
      <c r="D4" s="28" t="inlineStr">
        <is>
          <t>Therapist / Details</t>
        </is>
      </c>
      <c r="E4" s="28" t="inlineStr">
        <is>
          <t>Cumulative Usage</t>
        </is>
      </c>
      <c r="F4" s="28" t="inlineStr">
        <is>
          <t>Remaining Balance</t>
        </is>
      </c>
      <c r="G4" s="28" t="inlineStr">
        <is>
          <t>% Package Consumed</t>
        </is>
      </c>
      <c r="H4" s="28" t="inlineStr">
        <is>
          <t>Prob. Package Over Date</t>
        </is>
      </c>
    </row>
    <row r="5">
      <c r="A5" s="22" t="n">
        <v>1</v>
      </c>
      <c r="B5" s="22" t="inlineStr">
        <is>
          <t>21/10/2025</t>
        </is>
      </c>
      <c r="C5" s="22" t="n">
        <v>60</v>
      </c>
      <c r="D5" s="23" t="inlineStr">
        <is>
          <t>Ritvika (Sarkar)</t>
        </is>
      </c>
      <c r="E5" s="24">
        <f>C5</f>
        <v/>
      </c>
      <c r="F5" s="24">
        <f>600-E5</f>
        <v/>
      </c>
      <c r="G5" s="25">
        <f>E5/600</f>
        <v/>
      </c>
      <c r="H5" s="22">
        <f>IF(G5&gt;=1, "100.0% (Package Over)", TEXT(MIN(G5*100, 99.9), "0.0") &amp; "%")</f>
        <v/>
      </c>
    </row>
    <row r="6">
      <c r="A6" s="22" t="n">
        <v>2</v>
      </c>
      <c r="B6" s="22" t="inlineStr">
        <is>
          <t>27/10/2025</t>
        </is>
      </c>
      <c r="C6" s="22" t="n">
        <v>60</v>
      </c>
      <c r="D6" s="23" t="inlineStr">
        <is>
          <t>Sneha (Sarkar)</t>
        </is>
      </c>
      <c r="E6" s="24">
        <f>E5+C6</f>
        <v/>
      </c>
      <c r="F6" s="24">
        <f>600-E6</f>
        <v/>
      </c>
      <c r="G6" s="25">
        <f>E6/600</f>
        <v/>
      </c>
      <c r="H6" s="22">
        <f>IF(G6&gt;=1, "100.0% (Package Over)", TEXT(MIN(G6*100, 99.9), "0.0") &amp; "%")</f>
        <v/>
      </c>
    </row>
    <row r="7">
      <c r="A7" s="22" t="n">
        <v>3</v>
      </c>
      <c r="B7" s="22" t="inlineStr">
        <is>
          <t>02/11/2025</t>
        </is>
      </c>
      <c r="C7" s="22" t="n">
        <v>30</v>
      </c>
      <c r="D7" s="23" t="inlineStr">
        <is>
          <t>Ritika (Sarkar)</t>
        </is>
      </c>
      <c r="E7" s="24">
        <f>E6+C7</f>
        <v/>
      </c>
      <c r="F7" s="24">
        <f>600-E7</f>
        <v/>
      </c>
      <c r="G7" s="25">
        <f>E7/600</f>
        <v/>
      </c>
      <c r="H7" s="22">
        <f>IF(G7&gt;=1, "100.0% (Package Over)", TEXT(MIN(G7*100, 99.9), "0.0") &amp; "%")</f>
        <v/>
      </c>
    </row>
    <row r="8">
      <c r="A8" s="22" t="n">
        <v>4</v>
      </c>
      <c r="B8" s="22" t="inlineStr">
        <is>
          <t>17/11/2025</t>
        </is>
      </c>
      <c r="C8" s="22" t="n">
        <v>60</v>
      </c>
      <c r="D8" s="23" t="inlineStr">
        <is>
          <t>Ritika (Sarkar)</t>
        </is>
      </c>
      <c r="E8" s="24">
        <f>E7+C8</f>
        <v/>
      </c>
      <c r="F8" s="24">
        <f>600-E8</f>
        <v/>
      </c>
      <c r="G8" s="25">
        <f>E8/600</f>
        <v/>
      </c>
      <c r="H8" s="22">
        <f>IF(G8&gt;=1, "100.0% (Package Over)", TEXT(MIN(G8*100, 99.9), "0.0") &amp; "%")</f>
        <v/>
      </c>
    </row>
    <row r="9">
      <c r="A9" s="22" t="n">
        <v>5</v>
      </c>
      <c r="B9" s="22" t="inlineStr">
        <is>
          <t>25/11/2025</t>
        </is>
      </c>
      <c r="C9" s="22" t="n">
        <v>60</v>
      </c>
      <c r="D9" s="23" t="inlineStr">
        <is>
          <t>Soma (Sarkar)</t>
        </is>
      </c>
      <c r="E9" s="24">
        <f>E8+C9</f>
        <v/>
      </c>
      <c r="F9" s="24">
        <f>600-E9</f>
        <v/>
      </c>
      <c r="G9" s="25">
        <f>E9/600</f>
        <v/>
      </c>
      <c r="H9" s="22">
        <f>IF(G9&gt;=1, "100.0% (Package Over)", TEXT(MIN(G9*100, 99.9), "0.0") &amp; "%")</f>
        <v/>
      </c>
    </row>
    <row r="10">
      <c r="A10" s="22" t="n">
        <v>6</v>
      </c>
      <c r="B10" s="22" t="inlineStr">
        <is>
          <t>14/12/2025</t>
        </is>
      </c>
      <c r="C10" s="22" t="n">
        <v>60</v>
      </c>
      <c r="D10" s="23" t="inlineStr">
        <is>
          <t>Ritika (Sarkar)</t>
        </is>
      </c>
      <c r="E10" s="24">
        <f>E9+C10</f>
        <v/>
      </c>
      <c r="F10" s="24">
        <f>600-E10</f>
        <v/>
      </c>
      <c r="G10" s="25">
        <f>E10/600</f>
        <v/>
      </c>
      <c r="H10" s="22">
        <f>IF(G10&gt;=1, "100.0% (Package Over)", TEXT(MIN(G10*100, 99.9), "0.0") &amp; "%")</f>
        <v/>
      </c>
    </row>
    <row r="11">
      <c r="A11" s="22" t="n">
        <v>7</v>
      </c>
      <c r="B11" s="22" t="inlineStr">
        <is>
          <t>28/12/2025</t>
        </is>
      </c>
      <c r="C11" s="22" t="n">
        <v>60</v>
      </c>
      <c r="D11" s="23" t="inlineStr">
        <is>
          <t>Ritika (Sarkar)</t>
        </is>
      </c>
      <c r="E11" s="24">
        <f>E10+C11</f>
        <v/>
      </c>
      <c r="F11" s="24">
        <f>600-E11</f>
        <v/>
      </c>
      <c r="G11" s="25">
        <f>E11/600</f>
        <v/>
      </c>
      <c r="H11" s="22">
        <f>IF(G11&gt;=1, "100.0% (Package Over)", TEXT(MIN(G11*100, 99.9), "0.0") &amp; "%")</f>
        <v/>
      </c>
    </row>
    <row r="12">
      <c r="A12" s="22" t="n">
        <v>8</v>
      </c>
      <c r="B12" s="22" t="inlineStr">
        <is>
          <t>04/01/2026</t>
        </is>
      </c>
      <c r="C12" s="22" t="n">
        <v>60</v>
      </c>
      <c r="D12" s="23" t="inlineStr">
        <is>
          <t>Sneha (Sarkar)</t>
        </is>
      </c>
      <c r="E12" s="24">
        <f>E11+C12</f>
        <v/>
      </c>
      <c r="F12" s="24">
        <f>600-E12</f>
        <v/>
      </c>
      <c r="G12" s="25">
        <f>E12/600</f>
        <v/>
      </c>
      <c r="H12" s="22">
        <f>IF(G12&gt;=1, "100.0% (Package Over)", TEXT(MIN(G12*100, 99.9), "0.0") &amp; "%")</f>
        <v/>
      </c>
    </row>
    <row r="13">
      <c r="A13" s="22" t="n">
        <v>9</v>
      </c>
      <c r="B13" s="22" t="inlineStr">
        <is>
          <t>04/02/2026</t>
        </is>
      </c>
      <c r="C13" s="22" t="n">
        <v>60</v>
      </c>
      <c r="D13" s="23" t="inlineStr">
        <is>
          <t>Shilam (Sarkar)</t>
        </is>
      </c>
      <c r="E13" s="24">
        <f>E12+C13</f>
        <v/>
      </c>
      <c r="F13" s="24">
        <f>600-E13</f>
        <v/>
      </c>
      <c r="G13" s="25">
        <f>E13/600</f>
        <v/>
      </c>
      <c r="H13" s="22">
        <f>IF(G13&gt;=1, "100.0% (Package Over)", TEXT(MIN(G13*100, 99.9), "0.0") &amp; "%")</f>
        <v/>
      </c>
    </row>
    <row r="14">
      <c r="A14" s="22" t="n">
        <v>10</v>
      </c>
      <c r="B14" s="22" t="inlineStr">
        <is>
          <t>01/08/2026</t>
        </is>
      </c>
      <c r="C14" s="22" t="n">
        <v>30</v>
      </c>
      <c r="D14" s="23" t="inlineStr">
        <is>
          <t>Shilam (Sarkar)</t>
        </is>
      </c>
      <c r="E14" s="24">
        <f>E13+C14</f>
        <v/>
      </c>
      <c r="F14" s="24">
        <f>600-E14</f>
        <v/>
      </c>
      <c r="G14" s="25">
        <f>E14/600</f>
        <v/>
      </c>
      <c r="H14" s="22">
        <f>IF(G14&gt;=1, "100.0% (Package Over)", TEXT(MIN(G14*100, 99.9), "0.0") &amp; "%")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2026-10-06T14:44:32Z</dcterms:created>
  <dcterms:modified xmlns:dcterms="http://purl.org/dc/terms/" xmlns:xsi="http://www.w3.org/2001/XMLSchema-instance" xsi:type="dcterms:W3CDTF">2026-10-06T14:44:39Z</dcterms:modified>
</cp:coreProperties>
</file>