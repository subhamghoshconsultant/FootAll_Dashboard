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ient_Summary" sheetId="1" r:id="rId4"/>
    <sheet state="visible" name="Subhajit_Guha" sheetId="2" r:id="rId5"/>
    <sheet state="visible" name="Subrata_Mandal" sheetId="3" r:id="rId6"/>
    <sheet state="visible" name="Rituparna_Banerjee" sheetId="4" r:id="rId7"/>
    <sheet state="visible" name="Murali_Panikar" sheetId="5" r:id="rId8"/>
    <sheet state="visible" name="Supratim_Roy" sheetId="6" r:id="rId9"/>
    <sheet state="visible" name="Anindita_Ghose" sheetId="7" r:id="rId10"/>
    <sheet state="visible" name="Anand_Mehta" sheetId="8" r:id="rId11"/>
    <sheet state="visible" name="Subhabrata" sheetId="9" r:id="rId12"/>
    <sheet state="visible" name="Sushanta" sheetId="10" r:id="rId13"/>
    <sheet state="visible" name="Anand_Poddar" sheetId="11" r:id="rId14"/>
    <sheet state="visible" name="Debabrata_Dey" sheetId="12" r:id="rId15"/>
    <sheet state="visible" name="Madhumita_Chatterjee" sheetId="13" r:id="rId16"/>
    <sheet state="visible" name="Randhir_Paul" sheetId="14" r:id="rId17"/>
    <sheet state="visible" name="Manish_Jaiswal" sheetId="15" r:id="rId18"/>
    <sheet state="visible" name="RC_Yadav" sheetId="16" r:id="rId19"/>
    <sheet state="visible" name="Indrajit_Basak" sheetId="17" r:id="rId20"/>
    <sheet state="visible" name="Sumeet" sheetId="18" r:id="rId21"/>
    <sheet state="visible" name="Samapti_Roy" sheetId="19" r:id="rId22"/>
    <sheet state="visible" name="MK_Sarkar" sheetId="20" r:id="rId23"/>
    <sheet state="visible" name="Komal_Sinha" sheetId="21" r:id="rId24"/>
    <sheet state="visible" name="J_Mehta" sheetId="22" r:id="rId25"/>
    <sheet state="visible" name="Utpal_Chowdhury" sheetId="23" r:id="rId26"/>
    <sheet state="visible" name="Bijan_Roy_Chowdhury" sheetId="24" r:id="rId27"/>
    <sheet state="visible" name="Sanjit_Biswas" sheetId="25" r:id="rId28"/>
    <sheet state="visible" name="Rakhi_Senapati" sheetId="26" r:id="rId29"/>
    <sheet state="visible" name="Monali_Sengupta" sheetId="27" r:id="rId30"/>
    <sheet state="visible" name="Palas_Sarkar" sheetId="28" r:id="rId31"/>
    <sheet state="visible" name="Avisek_Ram" sheetId="29" r:id="rId32"/>
    <sheet state="visible" name="Dinesh_Kumar" sheetId="30" r:id="rId33"/>
    <sheet state="visible" name="Subhendu_Chatterjee" sheetId="31" r:id="rId34"/>
    <sheet state="visible" name="Tripti_Karmakar" sheetId="32" r:id="rId35"/>
    <sheet state="visible" name="Shayamal_Das" sheetId="33" r:id="rId36"/>
    <sheet state="visible" name="Subhandip_Das" sheetId="34" r:id="rId37"/>
    <sheet state="visible" name="Vivek_Partwani" sheetId="35" r:id="rId38"/>
    <sheet state="visible" name="Vivek_Gupta" sheetId="36" r:id="rId39"/>
    <sheet state="visible" name="Kishor_Kumar_Chatterjee" sheetId="37" r:id="rId40"/>
  </sheets>
  <definedNames>
    <definedName hidden="1" localSheetId="0" name="_xlnm._FilterDatabase">Client_Summary!$A$4:$H$26</definedName>
  </definedNames>
  <calcPr/>
</workbook>
</file>

<file path=xl/sharedStrings.xml><?xml version="1.0" encoding="utf-8"?>
<sst xmlns="http://schemas.openxmlformats.org/spreadsheetml/2006/main" count="1204" uniqueCount="533">
  <si>
    <t>CLIENT PACKAGE COMPLETION &amp; PROBABILITY DASHBOARD</t>
  </si>
  <si>
    <t>Master Register Overview &amp; Probability of Package Over Date</t>
  </si>
  <si>
    <t>S.No.</t>
  </si>
  <si>
    <t>Reg. Date</t>
  </si>
  <si>
    <t>Client Name</t>
  </si>
  <si>
    <t>Package Status</t>
  </si>
  <si>
    <t>Total Duration (Mins/Value)</t>
  </si>
  <si>
    <t>Consumed (Mins/Value)</t>
  </si>
  <si>
    <t>% Completed</t>
  </si>
  <si>
    <t>Prob. Package Over Date</t>
  </si>
  <si>
    <t>09/06/2025</t>
  </si>
  <si>
    <t>Mr. Subhajit Guha</t>
  </si>
  <si>
    <t>14/06/2025</t>
  </si>
  <si>
    <t>Mr. Subrata Mandal (New Pkg Active)</t>
  </si>
  <si>
    <t>17/06/2025</t>
  </si>
  <si>
    <t>Miss Rituparna Banerjee</t>
  </si>
  <si>
    <t>20/06/2025</t>
  </si>
  <si>
    <t>Mr. Murali Panikar</t>
  </si>
  <si>
    <t>Mr. Supratim Roy</t>
  </si>
  <si>
    <t>03/07/2025</t>
  </si>
  <si>
    <t>Miss Anindita Ghose</t>
  </si>
  <si>
    <t>14/07/2025</t>
  </si>
  <si>
    <t>Mr. Anand Mehta</t>
  </si>
  <si>
    <t>18/07/2025</t>
  </si>
  <si>
    <t>Mr. Subhabrata Roy (Paid 20k for 30 hrs)</t>
  </si>
  <si>
    <t>20/07/2025</t>
  </si>
  <si>
    <t>Mr. Sushanta Bhattacharya (Paid 5k for 20 hr)</t>
  </si>
  <si>
    <t>22/07/2025</t>
  </si>
  <si>
    <t>Mr. Anand Poddar</t>
  </si>
  <si>
    <t>23/07/2025</t>
  </si>
  <si>
    <t>Mr. Debabrata Dey</t>
  </si>
  <si>
    <t>07/08/2025</t>
  </si>
  <si>
    <t>Madhumita Chatterjee / Dey (8240366754 - Paid 5k for 7h + 5k for 7k x2)</t>
  </si>
  <si>
    <t>13/08/2025</t>
  </si>
  <si>
    <t>Mr. Randhir Paul (Paid 5k for 10 Sessions x2 New Pkgs)</t>
  </si>
  <si>
    <t>14/08/2025</t>
  </si>
  <si>
    <t>Mrs. Manish Jaiswal / Pankaj Jaisneel (Merged Pkg)</t>
  </si>
  <si>
    <t>15/08/2025</t>
  </si>
  <si>
    <t>Dr. R.C. Yadav (Paid 5k for 10 hrs &amp; Self + 2 New Pkgs)</t>
  </si>
  <si>
    <t>18/08/2025</t>
  </si>
  <si>
    <t>Mr. Indrajit Basak (Paid 5k for 8 hrs - New Pkg)</t>
  </si>
  <si>
    <t>20/08/2025</t>
  </si>
  <si>
    <t>Mr. Sumeet (10k Paid for 15 hrs + 10k Paid for 15k Value)</t>
  </si>
  <si>
    <t>24/08/2025</t>
  </si>
  <si>
    <t>Miss Samapti Roy (Paid 5k for 7 hrs &amp; 8 hrs)</t>
  </si>
  <si>
    <t>08/09/2025</t>
  </si>
  <si>
    <t>Mr. M.K. Sarkar (Anniversary Special Offer)</t>
  </si>
  <si>
    <t>26/09/2025</t>
  </si>
  <si>
    <t>Mrs. Komal Sinha (Pooja Offer - 5k for 6 Sessions)</t>
  </si>
  <si>
    <t>08/10/2025</t>
  </si>
  <si>
    <t>J. Mehta (9830111676 - Paid 10k for 14 hrs)</t>
  </si>
  <si>
    <t>09/10/2025</t>
  </si>
  <si>
    <t>Mr. Utpal Chowdhury (Paid 20k for 25k)</t>
  </si>
  <si>
    <t>11/10/2025</t>
  </si>
  <si>
    <t>Mr. Bijan Roy Chowdhury (Paid 5k for 450m + Paid 5k for 510m)</t>
  </si>
  <si>
    <t>Mr. Sanjit Biswas (Paid 5k for 7k + 1 Year Anniversary Offer)</t>
  </si>
  <si>
    <t>17/10/2025</t>
  </si>
  <si>
    <t>Mrs. Rakhi Senapati (Paid 5k for 10 Sessions)</t>
  </si>
  <si>
    <t>19/10/2025</t>
  </si>
  <si>
    <t>Miss Monali Sengupta (9163526861 - 5k for 7k Pkg x2)</t>
  </si>
  <si>
    <t>21/10/2025</t>
  </si>
  <si>
    <t>Mr. Palas Sarkar (Paid Total 5k for 10 Hours)</t>
  </si>
  <si>
    <t>25/10/2025</t>
  </si>
  <si>
    <t>Mr. Avisek Ram (Paid 5k for 9 Hours)</t>
  </si>
  <si>
    <t>26/10/2025</t>
  </si>
  <si>
    <t>Mr. Dinesh Kumar (Paid 5k for 10 Sessions / 600 Mins)</t>
  </si>
  <si>
    <t>27/10/2025</t>
  </si>
  <si>
    <t>Mr. Subhendu Chatterjee (Paid 5k for 8 Sessions / 480 Mins)</t>
  </si>
  <si>
    <t>28/10/2025</t>
  </si>
  <si>
    <t>Miss Tripti Karmakar (Paid 5k for 8 Sessions / 480 Mins)</t>
  </si>
  <si>
    <t>04/11/2025</t>
  </si>
  <si>
    <t>Mr. Shayamal Das (7003913586 - Paid 5k for 11 Hours)</t>
  </si>
  <si>
    <t>07/11/2025</t>
  </si>
  <si>
    <t>Mr. Subhandip Das (9831594967 / 9831594967 - Paid 5k for 8 Sessions)</t>
  </si>
  <si>
    <t>Mr. Vivek Partwani (Paid 5k for 7k Package)</t>
  </si>
  <si>
    <t>09/11/2025</t>
  </si>
  <si>
    <t>Mr. Vivek Gupta (9883284012 - Paid 5k for 7k x2 Pkgs)</t>
  </si>
  <si>
    <t>10/11/2025</t>
  </si>
  <si>
    <t>Mr. Kishor Kumar Chatterjee (Paid 5k for 8 Hours x2 Pkgs)</t>
  </si>
  <si>
    <t>CLIENT SESSION TRACKER: MR. SUBHAJIT GUHA</t>
  </si>
  <si>
    <t>Start Date: 09/06/2025  |  Package Details: Paid 10k for 15 Hours  |  Total Package Capacity: 900 Mins</t>
  </si>
  <si>
    <t>Session No.</t>
  </si>
  <si>
    <t>Session Date</t>
  </si>
  <si>
    <t>Duration (Mins/Value)</t>
  </si>
  <si>
    <t>Therapist / Details</t>
  </si>
  <si>
    <t>Cumulative Usage</t>
  </si>
  <si>
    <t>Remaining Balance</t>
  </si>
  <si>
    <t>% Package Consumed</t>
  </si>
  <si>
    <t>Ritvika</t>
  </si>
  <si>
    <t>24/06/2025</t>
  </si>
  <si>
    <t>04/08/2025</t>
  </si>
  <si>
    <t>Soma</t>
  </si>
  <si>
    <t>14/10/2025</t>
  </si>
  <si>
    <t>Ritika</t>
  </si>
  <si>
    <t>11/11/2025</t>
  </si>
  <si>
    <t>Sneha</t>
  </si>
  <si>
    <t>24/12/2025</t>
  </si>
  <si>
    <t>01/01/2026</t>
  </si>
  <si>
    <t>30/01/2026</t>
  </si>
  <si>
    <t>Sheelam</t>
  </si>
  <si>
    <t>24/04/2026</t>
  </si>
  <si>
    <t>Daliya</t>
  </si>
  <si>
    <t>CLIENT SESSION TRACKER: MR. SUBRATA MANDAL</t>
  </si>
  <si>
    <t>Start Date: 14/06/2025  |  Package Details: Pkg 1 (900m) + Pkg 2 (420m) + Pkg 3 (420m) + Pkg 4 (420m) + Pkg 5 (420m)  |  Total Package Capacity: 2580 Mins</t>
  </si>
  <si>
    <t>Riya (Pkg 1)</t>
  </si>
  <si>
    <t>16/06/2025</t>
  </si>
  <si>
    <t>Riya</t>
  </si>
  <si>
    <t>21/06/2025</t>
  </si>
  <si>
    <t>23/06/2025</t>
  </si>
  <si>
    <t>25/06/2025</t>
  </si>
  <si>
    <t>01/07/2025</t>
  </si>
  <si>
    <t>02/07/2025</t>
  </si>
  <si>
    <t>11/07/2025</t>
  </si>
  <si>
    <t>Smrita</t>
  </si>
  <si>
    <t>21/08/2025</t>
  </si>
  <si>
    <t>Soma (Pkg 2)</t>
  </si>
  <si>
    <t>27/08/2025</t>
  </si>
  <si>
    <t>Barsha</t>
  </si>
  <si>
    <t>11/09/2025</t>
  </si>
  <si>
    <t>Suparna</t>
  </si>
  <si>
    <t>13/09/2025</t>
  </si>
  <si>
    <t>Suparna (3:30 - 6:00)</t>
  </si>
  <si>
    <t>17/09/2025</t>
  </si>
  <si>
    <t>Ritika (Pkg 2 Over)</t>
  </si>
  <si>
    <t>Ritika (Pkg 3)</t>
  </si>
  <si>
    <t>30/10/2025</t>
  </si>
  <si>
    <t>18/10/2025</t>
  </si>
  <si>
    <t>28/01/2026</t>
  </si>
  <si>
    <t>Shilpa</t>
  </si>
  <si>
    <t>14/04/2026</t>
  </si>
  <si>
    <t>Isha</t>
  </si>
  <si>
    <t>10/06/2026</t>
  </si>
  <si>
    <t>Daliya (Foot)</t>
  </si>
  <si>
    <t>01/07/2026</t>
  </si>
  <si>
    <t>Bipasha (FHNS - Pkg 3 Over)</t>
  </si>
  <si>
    <t>CLIENT SESSION TRACKER: MISS RITUPARNA BANERJEE</t>
  </si>
  <si>
    <t>Start Date: 17/06/2025  |  Package Details: Paid 5k for 7k pkg  |  Total Package Capacity: 300 Mins</t>
  </si>
  <si>
    <t>09/08/2025</t>
  </si>
  <si>
    <t>Soma / Tiya</t>
  </si>
  <si>
    <t>Pooja</t>
  </si>
  <si>
    <t>CLIENT SESSION TRACKER: MR. MURALI PANIKAR</t>
  </si>
  <si>
    <t>Start Date: 20/06/2025  |  Package Details: 5k / 7.5k Package  |  Total Package Capacity: 360 Mins</t>
  </si>
  <si>
    <t>16/08/2025</t>
  </si>
  <si>
    <t>Tiya</t>
  </si>
  <si>
    <t>29/11/2025</t>
  </si>
  <si>
    <t>14/12/2025</t>
  </si>
  <si>
    <t>HNS Foot / Sneha</t>
  </si>
  <si>
    <t>CLIENT SESSION TRACKER: MR. SUPRATIM ROY</t>
  </si>
  <si>
    <t>Start Date: 20/06/2025  |  Package Details: Paid 5k for 7k Pkg  |  Total Package Capacity: 480 Mins</t>
  </si>
  <si>
    <t>22/06/2025</t>
  </si>
  <si>
    <t>29/06/2025</t>
  </si>
  <si>
    <t>10/07/2025</t>
  </si>
  <si>
    <t>Soma / Pedicure</t>
  </si>
  <si>
    <t>28/07/2025</t>
  </si>
  <si>
    <t>06/08/2025</t>
  </si>
  <si>
    <t>CLIENT SESSION TRACKER: MISS ANINDITA GHOSE</t>
  </si>
  <si>
    <t>Start Date: 03/07/2025  |  Package Details: Paid 5k for 7k (Not Started Yet)  |  Total Package Capacity: 300 Mins</t>
  </si>
  <si>
    <t>Not Started</t>
  </si>
  <si>
    <t>CLIENT SESSION TRACKER: MR. ANAND MEHTA</t>
  </si>
  <si>
    <t>Start Date: 14/07/2025  |  Package Details: Paid 6k for 10 Hours / 5k for 10 Hours  |  Total Package Capacity: 1200 Mins</t>
  </si>
  <si>
    <t>16/07/2025</t>
  </si>
  <si>
    <t>21/07/2025</t>
  </si>
  <si>
    <t>03/09/2025</t>
  </si>
  <si>
    <t>10/09/2025</t>
  </si>
  <si>
    <t>22/11/2025</t>
  </si>
  <si>
    <t>04/01/2026</t>
  </si>
  <si>
    <t>14/01/2026</t>
  </si>
  <si>
    <t>23/02/2026</t>
  </si>
  <si>
    <t>28/02/2026</t>
  </si>
  <si>
    <t>27/02/2026</t>
  </si>
  <si>
    <t>18/03/2026</t>
  </si>
  <si>
    <t>CLIENT SESSION TRACKER: MR. SUBHABRATA ROY</t>
  </si>
  <si>
    <t>Start Date: 18/07/2025  |  Package Details: Paid 20k for 30 hrs (1800 Mins)  |  Total Package Capacity: 1800 Mins</t>
  </si>
  <si>
    <t>13/08/2026</t>
  </si>
  <si>
    <t>Foot - Sneha</t>
  </si>
  <si>
    <t>FHNS - Daliya</t>
  </si>
  <si>
    <t>24/03/2026</t>
  </si>
  <si>
    <t>FHNS - Soma</t>
  </si>
  <si>
    <t>04/04/2026</t>
  </si>
  <si>
    <t>FHNS - Isha</t>
  </si>
  <si>
    <t>30/04/2026</t>
  </si>
  <si>
    <t>15/05/2026</t>
  </si>
  <si>
    <t>FHNS - Riya</t>
  </si>
  <si>
    <t>FHNS - Bipasha</t>
  </si>
  <si>
    <t>22/06/2026</t>
  </si>
  <si>
    <t>30/06/2026</t>
  </si>
  <si>
    <t>09/07/2026</t>
  </si>
  <si>
    <t>FHNS - Puja</t>
  </si>
  <si>
    <t>21/07/2026</t>
  </si>
  <si>
    <t>FHNS - Ankit</t>
  </si>
  <si>
    <t>21/08/2026</t>
  </si>
  <si>
    <t>FHNS - Pinky</t>
  </si>
  <si>
    <t>CLIENT SESSION TRACKER: MR. SUSHANTA BHATTACHARYA</t>
  </si>
  <si>
    <t>Start Date: 20/07/2025  |  Package Details: 50k for 80 hr + 5k Paid for 20 hr (Not Started Yet)  |  Total Package Capacity: 6000 Mins</t>
  </si>
  <si>
    <t>02/11/2025</t>
  </si>
  <si>
    <t>Not Started Yet (5k Paid for 20 hr)</t>
  </si>
  <si>
    <t>CLIENT SESSION TRACKER: MR. ANAND PODDAR</t>
  </si>
  <si>
    <t>Start Date: 22/07/2025  |  Package Details: Paid 5k for 7 Hours  |  Total Package Capacity: 420 Mins</t>
  </si>
  <si>
    <t>Puja</t>
  </si>
  <si>
    <t>17/08/2025</t>
  </si>
  <si>
    <t>23/08/2025</t>
  </si>
  <si>
    <t>12/09/2025</t>
  </si>
  <si>
    <t>10/10/2025</t>
  </si>
  <si>
    <t>12/03/2026</t>
  </si>
  <si>
    <t>26/03/2026</t>
  </si>
  <si>
    <t>CLIENT SESSION TRACKER: MR. DEBABRATA DEY</t>
  </si>
  <si>
    <t>Start Date: 23/07/2025  |  Package Details: Paid 5k for 7k Package (Soma)  |  Total Package Capacity: 7000</t>
  </si>
  <si>
    <t>Facial - Soma</t>
  </si>
  <si>
    <t>12/08/2025</t>
  </si>
  <si>
    <t>09/09/2025</t>
  </si>
  <si>
    <t>25/11/2025</t>
  </si>
  <si>
    <t>Facial - Sneha (Paid = 358 left/over)</t>
  </si>
  <si>
    <t>CLIENT SESSION TRACKER: MADHUMITA CHATTERJEE / DEY</t>
  </si>
  <si>
    <t>Start Date: 07/08/2025  |  Package Details: Paid 5k for 7 Hours + Paid 5k for 7k Value (10/11/25) + Paid 5k for 7k Value (28/12/25) | Phone: 8240366754  |  Total Capacity: 14420 Value/Mins</t>
  </si>
  <si>
    <t>11/08/2025</t>
  </si>
  <si>
    <t>19/08/2025</t>
  </si>
  <si>
    <t>28/08/2025</t>
  </si>
  <si>
    <t>Anju</t>
  </si>
  <si>
    <t>21/09/2025</t>
  </si>
  <si>
    <t>16/09/2025</t>
  </si>
  <si>
    <t>28/09/2025</t>
  </si>
  <si>
    <t>Classic Pedicure (Soma) - Madhumita Dey</t>
  </si>
  <si>
    <t>Aroma Therapy (Soma) - Madhumita Dey</t>
  </si>
  <si>
    <t>16/11/2025</t>
  </si>
  <si>
    <t>Foot Therapy (Ritika) - Madhumita Dey</t>
  </si>
  <si>
    <t>Foot Therapy (Sneha) - Madhumita Dey</t>
  </si>
  <si>
    <t>28/12/2025</t>
  </si>
  <si>
    <t>Foot Therapy (Daliya) - Madhumita Dey</t>
  </si>
  <si>
    <t>Deluxe Pedicure (Sneha) - Madhumita Dey</t>
  </si>
  <si>
    <t>Deluxe Pedicure (Daliya) - Madhumita Dey</t>
  </si>
  <si>
    <t>20/12/2025</t>
  </si>
  <si>
    <t>Foot Therapy FHNS (Pratima) - Madhumita Dey</t>
  </si>
  <si>
    <t>05/01/2026</t>
  </si>
  <si>
    <t>Foot Therapy FHNS (Bipasha) - Madhumita Dey</t>
  </si>
  <si>
    <t>Foot Therapy FHNS (Pooja) - Madhumita Dey</t>
  </si>
  <si>
    <t>CLIENT SESSION TRACKER: MR. RANDHIR PAUL</t>
  </si>
  <si>
    <t>Start Date: 13/08/2025  |  Package Details: Paid 5k for 10 hrs x2 + Paid 5k for 10 Sessions (30/10/25) + Paid 5k for 10 Sessions (21/12/25)  |  Total Package Capacity: 2400 Mins</t>
  </si>
  <si>
    <t>26/08/2025</t>
  </si>
  <si>
    <t>02/09/2025</t>
  </si>
  <si>
    <t>15/09/2025</t>
  </si>
  <si>
    <t>18/09/2025</t>
  </si>
  <si>
    <t>Suparna (Over)</t>
  </si>
  <si>
    <t>Suparna (Pkg 2 Renewal)</t>
  </si>
  <si>
    <t>07/10/2025</t>
  </si>
  <si>
    <t>24/10/2025</t>
  </si>
  <si>
    <t>03/11/2025</t>
  </si>
  <si>
    <t>08/11/2025</t>
  </si>
  <si>
    <t>13/11/2025</t>
  </si>
  <si>
    <t>02/12/2025</t>
  </si>
  <si>
    <t>Ritika (Randhir Pal)</t>
  </si>
  <si>
    <t>22/12/2025</t>
  </si>
  <si>
    <t>26/12/2025</t>
  </si>
  <si>
    <t>29/12/2025</t>
  </si>
  <si>
    <t>Riya (Randhir Pal)</t>
  </si>
  <si>
    <t>22/01/2026</t>
  </si>
  <si>
    <t>Shilpa - FHNS (Randhir Pal)</t>
  </si>
  <si>
    <t>05/02/2026</t>
  </si>
  <si>
    <t>Sneha - FHNS (Randhir Pal)</t>
  </si>
  <si>
    <t>11/02/2026</t>
  </si>
  <si>
    <t>Shilpa - Foot (Randhir Pal)</t>
  </si>
  <si>
    <t>05/03/2026</t>
  </si>
  <si>
    <t>11/03/2026</t>
  </si>
  <si>
    <t>Isha - FHNS (Randhir Pal)</t>
  </si>
  <si>
    <t>CLIENT SESSION TRACKER: MANISH JAISWAL / PANKAJ JAISNEEL (MERGED)</t>
  </si>
  <si>
    <t>Start Date: 14/08/2025  |  Package Details: Paid 5k for 8k Cash + Paid 5k for 10 hrs (31/10/25) + Paid 5k for 10 hrs (14/01/26)  |  Total Package Capacity: 9200 Value/Mins</t>
  </si>
  <si>
    <t>Pedicure</t>
  </si>
  <si>
    <t>Foot Massage 60 min (950 - Puja) + Detox Facial (1650 - Soma)</t>
  </si>
  <si>
    <t>04/09/2025</t>
  </si>
  <si>
    <t>Pedicure (850 - Suparna) + Detox Facial (1650 - Soma)</t>
  </si>
  <si>
    <t>01/12/2025</t>
  </si>
  <si>
    <t>Signature Pedicure (1250 - Soma)</t>
  </si>
  <si>
    <t>11/12/2025</t>
  </si>
  <si>
    <t>Signature Pedicure (Sneha - 800 balance + 450 paid = 1250) [OVER]</t>
  </si>
  <si>
    <t>Soma (Pankaj Jaisneel)</t>
  </si>
  <si>
    <t>15/11/2025</t>
  </si>
  <si>
    <t>Ritika (Pankaj Jaisneel)</t>
  </si>
  <si>
    <t>18/11/2025</t>
  </si>
  <si>
    <t>Sneha (Pankaj Jaisneel)</t>
  </si>
  <si>
    <t>04/12/2025</t>
  </si>
  <si>
    <t>21/01/2026</t>
  </si>
  <si>
    <t>Pratima (Pankaj Jaisneel)</t>
  </si>
  <si>
    <t>Daliya (Pankaj Jaisneel)</t>
  </si>
  <si>
    <t>19/01/2026</t>
  </si>
  <si>
    <t>Shilpa (Pankaj Jaisneel)</t>
  </si>
  <si>
    <t>21/02/2026</t>
  </si>
  <si>
    <t>Riya - FHNS (Pankaj Jaisneel)</t>
  </si>
  <si>
    <t>06/03/2026</t>
  </si>
  <si>
    <t>Sneha - FHNS (Pankaj Jaisneel)</t>
  </si>
  <si>
    <t>23/03/2026</t>
  </si>
  <si>
    <t>Soma - FHNS (Pankaj Jaisneel)</t>
  </si>
  <si>
    <t>20/05/2026</t>
  </si>
  <si>
    <t>27/06/2026</t>
  </si>
  <si>
    <t>Daliya - FHNS (Pankaj Jaisneel)</t>
  </si>
  <si>
    <t>06/08/2026</t>
  </si>
  <si>
    <t>Priya - FHNS (Pankaj Jaisneel)</t>
  </si>
  <si>
    <t>19/08/2026</t>
  </si>
  <si>
    <t>Ankit - FHNS (Pankaj Jaisneel)</t>
  </si>
  <si>
    <t>CLIENT SESSION TRACKER: DR. R.C. YADAV (MERGED)</t>
  </si>
  <si>
    <t>Start Date: 15/08/2025  |  Package Details: Paid 5k for 10 hrs + Paid 5k for Self + Paid 5k for 10 hrs (24/10/25) + Aroma Facial Pkg 5k for 10 hrs (16/12/25)  |  Total Package Capacity: 2400 Mins</t>
  </si>
  <si>
    <t>24/09/2025</t>
  </si>
  <si>
    <t>16/10/2025</t>
  </si>
  <si>
    <t>22/10/2025</t>
  </si>
  <si>
    <t>29/10/2025</t>
  </si>
  <si>
    <t>31/10/2025</t>
  </si>
  <si>
    <t>06/11/2025</t>
  </si>
  <si>
    <t>16/12/2025</t>
  </si>
  <si>
    <t>18/12/2025</t>
  </si>
  <si>
    <t>19/12/2025</t>
  </si>
  <si>
    <t>Pratima (R.C. Yadav)</t>
  </si>
  <si>
    <t>Riya (R.C. Yadav)</t>
  </si>
  <si>
    <t>31/12/2025</t>
  </si>
  <si>
    <t>10/01/2026</t>
  </si>
  <si>
    <t>Sneha (R.C. Yadav)</t>
  </si>
  <si>
    <t>20/01/2026</t>
  </si>
  <si>
    <t>Soma (R.C. Yadav)</t>
  </si>
  <si>
    <t>27/01/2026</t>
  </si>
  <si>
    <t>Shilu (R.C. Yadav)</t>
  </si>
  <si>
    <t>29/01/2026</t>
  </si>
  <si>
    <t>31/01/2026</t>
  </si>
  <si>
    <t>02/02/2026</t>
  </si>
  <si>
    <t>Sneha (R.C. Yadav - Extra)</t>
  </si>
  <si>
    <t>03/02/2026</t>
  </si>
  <si>
    <t>Aroma Facial Complimentary (Rs 950) - Soma</t>
  </si>
  <si>
    <t>Foot Therapy - Sneha (R.C. Yadav)</t>
  </si>
  <si>
    <t>04/02/2026</t>
  </si>
  <si>
    <t>Foot Therapy - Riya (R.C. Yadav)</t>
  </si>
  <si>
    <t>Foot HNS - Sneha (R.C. Yadav)</t>
  </si>
  <si>
    <t>25/02/2026</t>
  </si>
  <si>
    <t>Foot HNS - Riya (R.C. Yadav)</t>
  </si>
  <si>
    <t>26/02/2026</t>
  </si>
  <si>
    <t>Foot HNS - Daliya (R.C. Yadav)</t>
  </si>
  <si>
    <t>Foot HNS - Isha (R.C. Yadav)</t>
  </si>
  <si>
    <t>07/03/2026</t>
  </si>
  <si>
    <t>Foot HNS - Soma (R.C. Yadav)</t>
  </si>
  <si>
    <t>10/03/2026</t>
  </si>
  <si>
    <t>Foot - Riya (R.C. Yadav)</t>
  </si>
  <si>
    <t>CLIENT SESSION TRACKER: MR. INDRAJIT BASAK (MERGED)</t>
  </si>
  <si>
    <t>Start Date: 18/08/2025  |  Package Details: Paid 5k for 8 hrs + New Package Paid 5k for 8 hrs  |  Total Package Capacity: 960 Mins</t>
  </si>
  <si>
    <t>Rajlakshmi</t>
  </si>
  <si>
    <t>05/09/2025</t>
  </si>
  <si>
    <t>03/10/2025</t>
  </si>
  <si>
    <t>25/12/2025</t>
  </si>
  <si>
    <t>15/01/2026</t>
  </si>
  <si>
    <t>Soma (HNS)</t>
  </si>
  <si>
    <t>06/02/2026</t>
  </si>
  <si>
    <t>Shilpa (HNS)</t>
  </si>
  <si>
    <t>Sneha (Foot)</t>
  </si>
  <si>
    <t>08/02/2026</t>
  </si>
  <si>
    <t>Isha (Foot)</t>
  </si>
  <si>
    <t>Riya (HNS)</t>
  </si>
  <si>
    <t>CLIENT SESSION TRACKER: MR. SUMEET</t>
  </si>
  <si>
    <t>Start Date: 20/08/2025  |  Package Details: Paid 10k for 15 hrs (900 Mins) + Paid 10k for 15k Value (01/11/25)  |  Total Package Capacity: 14700 Value/Mins</t>
  </si>
  <si>
    <t>Puja (90m Complementary)</t>
  </si>
  <si>
    <t>Ritnika</t>
  </si>
  <si>
    <t>15/12/2025</t>
  </si>
  <si>
    <t>20/03/2026</t>
  </si>
  <si>
    <t>20/08/2026</t>
  </si>
  <si>
    <t>01/11/2025</t>
  </si>
  <si>
    <t>Facial (Sumeet)</t>
  </si>
  <si>
    <t>Signature Facial - Daliya (Sumeet)</t>
  </si>
  <si>
    <t>Signature Facial - Shilpa (Sumeet)</t>
  </si>
  <si>
    <t>CLIENT SESSION TRACKER: MISS SAMAPTI ROY (MERGED)</t>
  </si>
  <si>
    <t>Start Date: 24/08/2025  |  Package Details: Paid 5k for 7 hrs + Paid 5k for 8 hrs  |  Total Package Capacity: 900 Mins</t>
  </si>
  <si>
    <t>31/08/2025</t>
  </si>
  <si>
    <t>07/09/2025</t>
  </si>
  <si>
    <t>23/11/2025</t>
  </si>
  <si>
    <t>Swapna</t>
  </si>
  <si>
    <t>Sneha (FHNS)</t>
  </si>
  <si>
    <t>Riya (FHNS)</t>
  </si>
  <si>
    <t>Daliya (FHNS)</t>
  </si>
  <si>
    <t>18/01/2026</t>
  </si>
  <si>
    <t>26/01/2026</t>
  </si>
  <si>
    <t>01/02/2026</t>
  </si>
  <si>
    <t>15/02/2026</t>
  </si>
  <si>
    <t>CLIENT SESSION TRACKER: MR. M.K. SARKAR (MERGED)</t>
  </si>
  <si>
    <t>Start Date: 08/09/2025  |  Package Details: Paid 5k for 10 hrs + Anniversary Special Offer (5k for 10 hrs)  |  Total Package Capacity: 1200 Mins</t>
  </si>
  <si>
    <t>12/11/2025</t>
  </si>
  <si>
    <t>27/11/2025</t>
  </si>
  <si>
    <t>17/01/2026</t>
  </si>
  <si>
    <t>03/07/2026</t>
  </si>
  <si>
    <t>Puja (HNSF)</t>
  </si>
  <si>
    <t>Puja (HNS)</t>
  </si>
  <si>
    <t>Puja (Foot)</t>
  </si>
  <si>
    <t>10/07/2026</t>
  </si>
  <si>
    <t>Ankit (FHNS)</t>
  </si>
  <si>
    <t>22/07/2026</t>
  </si>
  <si>
    <t>Ankit (HNSB)</t>
  </si>
  <si>
    <t>31/07/2026</t>
  </si>
  <si>
    <t>Ankit (Foot)</t>
  </si>
  <si>
    <t>CLIENT SESSION TRACKER: MRS. KOMAL SINHA (POOJA OFFER)</t>
  </si>
  <si>
    <t>Start Date: 26/09/2025  |  Package Details: Pooja Offer 5k for 6 Sessions (Total Value: 8650)  |  Total Package Capacity: 8650 Mins</t>
  </si>
  <si>
    <t>Foot + Pedi Signature (Suparna &amp; Soma)</t>
  </si>
  <si>
    <t>Session 6</t>
  </si>
  <si>
    <t>Session 7</t>
  </si>
  <si>
    <t>1 Deluxe Manicure (Complimentary)</t>
  </si>
  <si>
    <t>CLIENT SESSION TRACKER: J. MEHTA (9830111676)</t>
  </si>
  <si>
    <t>Start Date: 08/10/2025  |  Package Details: Paid 10k for 14 hrs (840 Mins) | Phone: 9830111676  |  Total Package Capacity: 840 Mins</t>
  </si>
  <si>
    <t>09/12/2025</t>
  </si>
  <si>
    <t>06/01/2026</t>
  </si>
  <si>
    <t>17/06/2026</t>
  </si>
  <si>
    <t>05/08/2026</t>
  </si>
  <si>
    <t>Mouli (FHNS)</t>
  </si>
  <si>
    <t>CLIENT SESSION TRACKER: MR. UTPAL CHOWDHURY</t>
  </si>
  <si>
    <t>Start Date: 09/10/2025  |  Package Details: Paid 20k for 25k (Actual Value: 26,900)  |  Total Package Capacity: 26900 Mins</t>
  </si>
  <si>
    <t>Foot Therapy</t>
  </si>
  <si>
    <t>Facial + Pedicure + Manicure (Soma)</t>
  </si>
  <si>
    <t>Pedicure + Manicure + Threading</t>
  </si>
  <si>
    <t>Pedicure + Facial (Soma)</t>
  </si>
  <si>
    <t>Pedicure + Facial (Ritika)</t>
  </si>
  <si>
    <t>Pedicure + Facial</t>
  </si>
  <si>
    <t>CLIENT SESSION TRACKER: MR. BIJAN ROY CHOWDHURY</t>
  </si>
  <si>
    <t>Start Date: 11/10/2025  |  Package Details: Paid 5k for 450 min + Paid 5k for 510 min (16/11/25)  |  Total Package Capacity: 960 Mins</t>
  </si>
  <si>
    <t>Ritika -&gt; Jomin</t>
  </si>
  <si>
    <t>Supriya -&gt; Jomin</t>
  </si>
  <si>
    <t>Riya -&gt; Jomin</t>
  </si>
  <si>
    <t>11/01/2026</t>
  </si>
  <si>
    <t>Shilpa -&gt; Jomin</t>
  </si>
  <si>
    <t>21/03/2026</t>
  </si>
  <si>
    <t>Isha -&gt; Jomin</t>
  </si>
  <si>
    <t>03/05/2026</t>
  </si>
  <si>
    <t>09/05/2026</t>
  </si>
  <si>
    <t>CLIENT SESSION TRACKER: MR. SANJIT BISWAS</t>
  </si>
  <si>
    <t>Start Date: 11/10/2025  |  Package Details: Paid 5k for 7k Pkg + Anniversary Offer 5k for 10 hrs (600 Mins)  |  Total Package Capacity: 14710 Value/Mins</t>
  </si>
  <si>
    <t>Facial (Soma - Sanjit Biswas)</t>
  </si>
  <si>
    <t>Aroma (Soma - Sanjit Biswas)</t>
  </si>
  <si>
    <t>Signature Pedi (Soma - Sanjit Biswas)</t>
  </si>
  <si>
    <t>Foot HNS (Sneha - Sanjit Biswas)</t>
  </si>
  <si>
    <t>01/05/2026</t>
  </si>
  <si>
    <t>Foot HNS (Daliya - Sanjit Biswas)</t>
  </si>
  <si>
    <t>12/07/2026</t>
  </si>
  <si>
    <t>FHNS (Bipasha - Sanjit Biswas)</t>
  </si>
  <si>
    <t>Back Therapy - Ankit (Sanjit Biswas)</t>
  </si>
  <si>
    <t>16/07/2026</t>
  </si>
  <si>
    <t>FHNS - Ankit &amp; Bipasha (Sanjit Biswas)</t>
  </si>
  <si>
    <t>15/08/2026</t>
  </si>
  <si>
    <t>FHNS - Pankaj (Sanjit Biswas)</t>
  </si>
  <si>
    <t>22/08/2026</t>
  </si>
  <si>
    <t>FHNS - Kanya (Sanjit Biswas)</t>
  </si>
  <si>
    <t>CLIENT SESSION TRACKER: MRS. RAKHI SENAPATI</t>
  </si>
  <si>
    <t>Start Date: 17/10/2025  |  Package Details: Paid 5k for 10 Sessions  |  Total Package Capacity: 600 Mins</t>
  </si>
  <si>
    <t>Pedicure - Soma</t>
  </si>
  <si>
    <t>Foot - Ritika</t>
  </si>
  <si>
    <t>CLIENT SESSION TRACKER: MISS MONALI SENGUPTA</t>
  </si>
  <si>
    <t>Start Date: 19/10/2025  |  Package Details: Paid 5k for 7k Pkg + Paid 5k for 7k Pkg  |  Total Package Capacity: 14000 Value/Mins</t>
  </si>
  <si>
    <t>Soma (60 min) - Monali</t>
  </si>
  <si>
    <t>Ritika (60 min)</t>
  </si>
  <si>
    <t>Ritika - Monali</t>
  </si>
  <si>
    <t>Riya (60 min) - Deluxe Pedicure</t>
  </si>
  <si>
    <t>Foot Therapy - Soma (Rs 950)</t>
  </si>
  <si>
    <t>18/08/2026</t>
  </si>
  <si>
    <t>Foot Therapy (60 min) - Paid 1600, 650 Left</t>
  </si>
  <si>
    <t>CLIENT SESSION TRACKER: MR. PALAS SARKAR</t>
  </si>
  <si>
    <t>Start Date: 21/10/2025  |  Package Details: Paid Total 5k for 10 Hours (600 Mins) [Paid 1950, Due 3050, Paid 3050 on 27/10/25]</t>
  </si>
  <si>
    <t>Ritika - Sarkar</t>
  </si>
  <si>
    <t>Sneha - Sarkar</t>
  </si>
  <si>
    <t>17/11/2025</t>
  </si>
  <si>
    <t>Soma - Sarkar</t>
  </si>
  <si>
    <t>14/11/2025</t>
  </si>
  <si>
    <t>23/12/2025</t>
  </si>
  <si>
    <t>Shilpa - Sarkar</t>
  </si>
  <si>
    <t>01/08/2026</t>
  </si>
  <si>
    <t>CLIENT SESSION TRACKER: MR. AVISEK RAM</t>
  </si>
  <si>
    <t>Start Date: 25/10/2025  |  Package Details: Paid 5k for 9 hrs (540 Mins)</t>
  </si>
  <si>
    <t>Sneha - Avisek Ram</t>
  </si>
  <si>
    <t>Soma - Avisek Ram</t>
  </si>
  <si>
    <t>Ritika - Avisek Ram</t>
  </si>
  <si>
    <t>21/12/2025</t>
  </si>
  <si>
    <t>Riya - Avisek Ram</t>
  </si>
  <si>
    <t>Pratima - Avisek Ram</t>
  </si>
  <si>
    <t>CLIENT SESSION TRACKER: MR. DINESH KUMAR</t>
  </si>
  <si>
    <t>Start Date: 26/10/2025  |  Package Details: Paid 5k for 10 Sessions (600 Mins)  |  Total Package Capacity: 600 Mins</t>
  </si>
  <si>
    <t>Soma (60 min) - Dinesh Kumar</t>
  </si>
  <si>
    <t>Ritika (60 min) - Dinesh Kumar</t>
  </si>
  <si>
    <t>Suparna (60 min) - Dinesh Kumar</t>
  </si>
  <si>
    <t>Sneha (60 min) - Dinesh Kumar</t>
  </si>
  <si>
    <t>07/12/2025</t>
  </si>
  <si>
    <t>Riya (60 min) - Dinesh Kumar</t>
  </si>
  <si>
    <t>Pratima (6 min) - Dinesh Kumar</t>
  </si>
  <si>
    <t>Foot HNS - Riya (Dinesh Kumar)</t>
  </si>
  <si>
    <t>Foot HNS - Sneha (Anju)</t>
  </si>
  <si>
    <t>Foot HNS - Daliya</t>
  </si>
  <si>
    <t>11/05/2026</t>
  </si>
  <si>
    <t>Foot HNS - Riya (Anju)</t>
  </si>
  <si>
    <t>CLIENT SESSION TRACKER: MR. SUBHENDU CHATTERJEE</t>
  </si>
  <si>
    <t>Start Date: 27/10/2025  |  Package Details: Paid 5k for 8 Sessions (480 Mins)  |  Total Package Capacity: 480 Mins</t>
  </si>
  <si>
    <t>23/10/2025</t>
  </si>
  <si>
    <t>Soma - Subhendu Chatterjee</t>
  </si>
  <si>
    <t>Sneha - Subhendu Chatterjee</t>
  </si>
  <si>
    <t>Soma - Isha</t>
  </si>
  <si>
    <t>Ritika - Isha</t>
  </si>
  <si>
    <t>CLIENT SESSION TRACKER: MISS TRIPTI KARMAKAR</t>
  </si>
  <si>
    <t>Start Date: 28/10/2025  |  Package Details: Paid 5k for 8 Sessions (480 Mins)  |  Total Package Capacity: 480 Mins</t>
  </si>
  <si>
    <t>CLIENT SESSION TRACKER: MR. SHAYAMAL DAS</t>
  </si>
  <si>
    <t>Start Date: 04/11/2025  |  Package Details: Paid 5k for 11 Hours (660 Mins) | Phone: 7003913586  |  Total Package Capacity: 660 Mins</t>
  </si>
  <si>
    <t>Ritika (Shayamal Das)</t>
  </si>
  <si>
    <t>Shilpa (Shayamal Das)</t>
  </si>
  <si>
    <t>CLIENT SESSION TRACKER: MR. SUBHANDIP DAS</t>
  </si>
  <si>
    <t>Start Date: 07/11/2025  |  Package Details: Paid 5k for 8 Sessions (480 Mins) | Phone: 9831594967  |  Total Package Capacity: 480 Mins</t>
  </si>
  <si>
    <t>Sneha - Subhandip Das</t>
  </si>
  <si>
    <t>26/11/2025</t>
  </si>
  <si>
    <t>Ritika - Subhandip Das</t>
  </si>
  <si>
    <t>Daliya - Subhandip Das</t>
  </si>
  <si>
    <t>Riya - Subhandip Das</t>
  </si>
  <si>
    <t>22/05/2026</t>
  </si>
  <si>
    <t>31/05/2026</t>
  </si>
  <si>
    <t>CLIENT SESSION TRACKER: MR. VIVEK PARTWANI</t>
  </si>
  <si>
    <t>Start Date: 07/11/2025  |  Package Details: Total Package 7k (Paid 5k: Paid 2950 on 07/11/25 + Paid 2050 on 27/12/25)  |  Total Package Capacity: 7000 Value/Mins</t>
  </si>
  <si>
    <t>Soma (60 min - Rs 950)</t>
  </si>
  <si>
    <t>27/12/2025</t>
  </si>
  <si>
    <t>Foot HNS (60 min - Rs 950) - Sneha</t>
  </si>
  <si>
    <t>Foot HNS (60 min - Rs 950) - Pratima</t>
  </si>
  <si>
    <t>CLIENT SESSION TRACKER: MR. VIVEK GUPTA</t>
  </si>
  <si>
    <t>Start Date: 09/11/2025  |  Package Details: Paid 5k for 7k (09/11/25) + Paid 5k for 7k (10/05/26) | Phone: 9883284012  |  Total Capacity: 14000 Value/Mins</t>
  </si>
  <si>
    <t>Pedicure + Foot + Soma + Pinky</t>
  </si>
  <si>
    <t>10/05/2026</t>
  </si>
  <si>
    <t>Signature Pedicure - Isha</t>
  </si>
  <si>
    <t>FHNS - Riya &amp; Isha</t>
  </si>
  <si>
    <t>Foot &amp; Pedicure Package Balance</t>
  </si>
  <si>
    <t>CLIENT SESSION TRACKER: MR. KISHOR KUMAR CHATTERJEE</t>
  </si>
  <si>
    <t>Start Date: 10/11/2025  |  Package Details: Paid 5k for 8 Hours (10/11/25) + Paid 5k for 8 Hours (13/11/25)  |  Total Capacity: 960 Mins</t>
  </si>
  <si>
    <t>Swapna - Kishor Kumar Chatterjee</t>
  </si>
  <si>
    <t>03/12/2025</t>
  </si>
  <si>
    <t>Sneha - Kishor Kumar Chatterjee</t>
  </si>
  <si>
    <t>Protima - Kishor Kumar Chatterjee</t>
  </si>
  <si>
    <t>Foot Riya - Kishor Kumar Chatterjee</t>
  </si>
  <si>
    <t>Head Neck Shoulder Riya - Kishor Kumar Chatterjee</t>
  </si>
  <si>
    <t>08/01/2026</t>
  </si>
  <si>
    <t>HNS Sneha - Kishor Kumar Chatterjee</t>
  </si>
  <si>
    <t>09/02/2026</t>
  </si>
  <si>
    <t>Foot Daliya - Kishor Kumar Chatterjee</t>
  </si>
  <si>
    <t>Foot &amp; HNS Isha - Kishor Kumar Chatterjee</t>
  </si>
  <si>
    <t>Foot &amp; HNS Soma - Kishor Kumar Chatterjee</t>
  </si>
  <si>
    <t>20/02/2026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</si>
</sst>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10">
    <font>
      <sz val="11.0"/>
      <color rgb="FF000000"/>
      <name val="Arial"/>
      <scheme val="minor"/>
    </font>
    <font>
      <b/>
      <sz val="15.0"/>
      <color rgb="FF1F4E78"/>
      <name val="Quattrocento Sans"/>
    </font>
    <font>
      <sz val="11.0"/>
      <name val="Calibri"/>
    </font>
    <font>
      <i/>
      <sz val="10.0"/>
      <color rgb="FF595959"/>
      <name val="Quattrocento Sans"/>
    </font>
    <font>
      <b/>
      <sz val="11.0"/>
      <color rgb="FFFFFFFF"/>
      <name val="Quattrocento Sans"/>
    </font>
    <font>
      <sz val="10.0"/>
      <name val="Quattrocento Sans"/>
    </font>
    <font>
      <b/>
      <sz val="10.0"/>
      <color rgb="FFC00000"/>
      <name val="Quattrocento Sans"/>
    </font>
    <font>
      <b/>
      <sz val="14.0"/>
      <color rgb="FF1F4E78"/>
      <name val="Calibri"/>
    </font>
    <font>
      <i/>
      <sz val="11.0"/>
      <color rgb="FF595959"/>
      <name val="Calibri"/>
    </font>
    <font>
      <b/>
      <sz val="11.0"/>
      <color rgb="FFFFFFFF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F9FAFB"/>
        <bgColor rgb="FFF9FAFB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1" fillId="2" fontId="4" numFmtId="0" xfId="0" applyAlignment="1" applyBorder="1" applyFill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left" vertical="center"/>
    </xf>
    <xf borderId="1" fillId="0" fontId="2" numFmtId="3" xfId="0" applyAlignment="1" applyBorder="1" applyFont="1" applyNumberFormat="1">
      <alignment horizontal="center" vertical="center"/>
    </xf>
    <xf borderId="1" fillId="0" fontId="2" numFmtId="164" xfId="0" applyAlignment="1" applyBorder="1" applyFont="1" applyNumberFormat="1">
      <alignment horizontal="center" vertical="center"/>
    </xf>
    <xf borderId="1" fillId="3" fontId="5" numFmtId="0" xfId="0" applyAlignment="1" applyBorder="1" applyFill="1" applyFont="1">
      <alignment horizontal="center" vertical="center"/>
    </xf>
    <xf borderId="1" fillId="3" fontId="5" numFmtId="0" xfId="0" applyAlignment="1" applyBorder="1" applyFill="1" applyFont="1">
      <alignment horizontal="left" vertical="center"/>
    </xf>
    <xf borderId="1" fillId="3" fontId="5" numFmtId="3" xfId="0" applyAlignment="1" applyBorder="1" applyFill="1" applyFont="1" applyNumberFormat="1">
      <alignment horizontal="right" vertical="center"/>
    </xf>
    <xf borderId="1" fillId="3" fontId="5" numFmtId="164" xfId="0" applyAlignment="1" applyBorder="1" applyFill="1" applyFont="1" applyNumberFormat="1">
      <alignment horizontal="right" vertical="center"/>
    </xf>
    <xf borderId="1" fillId="4" fontId="6" numFmtId="0" xfId="0" applyAlignment="1" applyBorder="1" applyFill="1" applyFont="1">
      <alignment horizontal="center" vertical="center"/>
    </xf>
    <xf borderId="1" fillId="5" fontId="5" numFmtId="0" xfId="0" applyAlignment="1" applyBorder="1" applyFill="1" applyFont="1">
      <alignment horizontal="center" vertical="center"/>
    </xf>
    <xf borderId="1" fillId="5" fontId="5" numFmtId="0" xfId="0" applyAlignment="1" applyBorder="1" applyFill="1" applyFont="1">
      <alignment horizontal="left" vertical="center"/>
    </xf>
    <xf borderId="1" fillId="5" fontId="5" numFmtId="3" xfId="0" applyAlignment="1" applyBorder="1" applyFill="1" applyFont="1" applyNumberFormat="1">
      <alignment horizontal="right" vertical="center"/>
    </xf>
    <xf borderId="1" fillId="5" fontId="5" numFmtId="164" xfId="0" applyAlignment="1" applyBorder="1" applyFill="1" applyFont="1" applyNumberFormat="1">
      <alignment horizontal="right" vertical="center"/>
    </xf>
    <xf borderId="0" fillId="0" fontId="7" numFmtId="0" xfId="0" applyFont="1"/>
    <xf borderId="0" fillId="0" fontId="8" numFmtId="0" xfId="0" applyFont="1"/>
    <xf borderId="0" fillId="2" fontId="9" numFmtId="0" xfId="0" applyAlignment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37" Type="http://schemas.openxmlformats.org/officeDocument/2006/relationships/worksheet" Target="worksheets/sheet34.xml"/><Relationship Id="rId14" Type="http://schemas.openxmlformats.org/officeDocument/2006/relationships/worksheet" Target="worksheets/sheet11.xml"/><Relationship Id="rId36" Type="http://schemas.openxmlformats.org/officeDocument/2006/relationships/worksheet" Target="worksheets/sheet33.xml"/><Relationship Id="rId17" Type="http://schemas.openxmlformats.org/officeDocument/2006/relationships/worksheet" Target="worksheets/sheet14.xml"/><Relationship Id="rId39" Type="http://schemas.openxmlformats.org/officeDocument/2006/relationships/worksheet" Target="worksheets/sheet36.xml"/><Relationship Id="rId16" Type="http://schemas.openxmlformats.org/officeDocument/2006/relationships/worksheet" Target="worksheets/sheet13.xml"/><Relationship Id="rId38" Type="http://schemas.openxmlformats.org/officeDocument/2006/relationships/worksheet" Target="worksheets/sheet35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14.0"/>
    <col customWidth="1" min="3" max="3" width="45.0"/>
    <col customWidth="1" min="4" max="4" width="16.0"/>
    <col customWidth="1" min="5" max="5" width="26.0"/>
    <col customWidth="1" min="6" max="6" width="24.0"/>
    <col customWidth="1" min="7" max="7" width="16.0"/>
    <col customWidth="1" min="8" max="8" width="26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5">
        <v>1.0</v>
      </c>
      <c r="B5" s="5" t="s">
        <v>10</v>
      </c>
      <c r="C5" s="6" t="s">
        <v>11</v>
      </c>
      <c r="D5" s="5" t="str">
        <f t="shared" ref="D5:D40" si="1">IF(G5&gt;=1, "OVER", IF(F5=0, "NOT STARTED", "ACTIVE"))</f>
        <v>ACTIVE</v>
      </c>
      <c r="E5" s="5">
        <v>900.0</v>
      </c>
      <c r="F5" s="7" t="str">
        <f>Subhajit_Guha!E13</f>
        <v>510</v>
      </c>
      <c r="G5" s="8" t="str">
        <f t="shared" ref="G5:G40" si="2">F5/E5</f>
        <v>56.7%</v>
      </c>
      <c r="H5" s="5" t="str">
        <f>Subhajit_Guha!H13</f>
        <v>56.7%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>
        <v>2.0</v>
      </c>
      <c r="B6" s="5" t="s">
        <v>12</v>
      </c>
      <c r="C6" s="6" t="s">
        <v>13</v>
      </c>
      <c r="D6" s="5" t="str">
        <f t="shared" si="1"/>
        <v>ACTIVE</v>
      </c>
      <c r="E6" s="5">
        <v>2580.0</v>
      </c>
      <c r="F6" s="7" t="str">
        <f>Subrata_Mandal!E27</f>
        <v>1,710</v>
      </c>
      <c r="G6" s="8" t="str">
        <f t="shared" si="2"/>
        <v>66.3%</v>
      </c>
      <c r="H6" s="5" t="str">
        <f>Subrata_Mandal!H27</f>
        <v>66.3%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5">
        <v>3.0</v>
      </c>
      <c r="B7" s="5" t="s">
        <v>14</v>
      </c>
      <c r="C7" s="6" t="s">
        <v>15</v>
      </c>
      <c r="D7" s="5" t="str">
        <f t="shared" si="1"/>
        <v>ACTIVE</v>
      </c>
      <c r="E7" s="5">
        <v>300.0</v>
      </c>
      <c r="F7" s="7" t="str">
        <f>Rituparna_Banerjee!E6</f>
        <v>180</v>
      </c>
      <c r="G7" s="8" t="str">
        <f t="shared" si="2"/>
        <v>60.0%</v>
      </c>
      <c r="H7" s="5" t="str">
        <f>Rituparna_Banerjee!H6</f>
        <v>60.0%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5">
        <v>4.0</v>
      </c>
      <c r="B8" s="5" t="s">
        <v>16</v>
      </c>
      <c r="C8" s="6" t="s">
        <v>17</v>
      </c>
      <c r="D8" s="5" t="str">
        <f t="shared" si="1"/>
        <v>OVER</v>
      </c>
      <c r="E8" s="5">
        <v>360.0</v>
      </c>
      <c r="F8" s="7" t="str">
        <f>Murali_Panikar!E9</f>
        <v>410</v>
      </c>
      <c r="G8" s="8" t="str">
        <f t="shared" si="2"/>
        <v>113.9%</v>
      </c>
      <c r="H8" s="5" t="str">
        <f>Murali_Panikar!H9</f>
        <v>100.0% (Package Over)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5">
        <v>5.0</v>
      </c>
      <c r="B9" s="5" t="s">
        <v>16</v>
      </c>
      <c r="C9" s="6" t="s">
        <v>18</v>
      </c>
      <c r="D9" s="5" t="str">
        <f t="shared" si="1"/>
        <v>OVER</v>
      </c>
      <c r="E9" s="5">
        <v>480.0</v>
      </c>
      <c r="F9" s="7" t="str">
        <f>Supratim_Roy!E12</f>
        <v>720</v>
      </c>
      <c r="G9" s="8" t="str">
        <f t="shared" si="2"/>
        <v>150.0%</v>
      </c>
      <c r="H9" s="5" t="str">
        <f>Supratim_Roy!H12</f>
        <v>100.0% (Package Over)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5">
        <v>6.0</v>
      </c>
      <c r="B10" s="5" t="s">
        <v>19</v>
      </c>
      <c r="C10" s="6" t="s">
        <v>20</v>
      </c>
      <c r="D10" s="5" t="str">
        <f t="shared" si="1"/>
        <v>NOT STARTED</v>
      </c>
      <c r="E10" s="5">
        <v>300.0</v>
      </c>
      <c r="F10" s="7" t="str">
        <f>Anindita_Ghose!E5</f>
        <v>0</v>
      </c>
      <c r="G10" s="8" t="str">
        <f t="shared" si="2"/>
        <v>0.0%</v>
      </c>
      <c r="H10" s="5" t="str">
        <f>Anindita_Ghose!H5</f>
        <v>0.0%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5">
        <v>7.0</v>
      </c>
      <c r="B11" s="5" t="s">
        <v>21</v>
      </c>
      <c r="C11" s="6" t="s">
        <v>22</v>
      </c>
      <c r="D11" s="5" t="str">
        <f t="shared" si="1"/>
        <v>OVER</v>
      </c>
      <c r="E11" s="5">
        <v>1200.0</v>
      </c>
      <c r="F11" s="7" t="str">
        <f>Anand_Mehta!E23</f>
        <v>1,200</v>
      </c>
      <c r="G11" s="8" t="str">
        <f t="shared" si="2"/>
        <v>100.0%</v>
      </c>
      <c r="H11" s="5" t="str">
        <f>Anand_Mehta!H23</f>
        <v>100.0% (Package Over)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5">
        <v>8.0</v>
      </c>
      <c r="B12" s="5" t="s">
        <v>23</v>
      </c>
      <c r="C12" s="6" t="s">
        <v>24</v>
      </c>
      <c r="D12" s="5" t="str">
        <f t="shared" si="1"/>
        <v>ACTIVE</v>
      </c>
      <c r="E12" s="5">
        <v>1800.0</v>
      </c>
      <c r="F12" s="7" t="str">
        <f>Subhabrata!E17</f>
        <v>1,290</v>
      </c>
      <c r="G12" s="8" t="str">
        <f t="shared" si="2"/>
        <v>71.7%</v>
      </c>
      <c r="H12" s="5" t="str">
        <f>Subhabrata!H17</f>
        <v>71.7%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5">
        <v>9.0</v>
      </c>
      <c r="B13" s="5" t="s">
        <v>25</v>
      </c>
      <c r="C13" s="6" t="s">
        <v>26</v>
      </c>
      <c r="D13" s="5" t="str">
        <f t="shared" si="1"/>
        <v>NOT STARTED</v>
      </c>
      <c r="E13" s="5">
        <v>6000.0</v>
      </c>
      <c r="F13" s="7" t="str">
        <f>Sushanta!E5</f>
        <v>0</v>
      </c>
      <c r="G13" s="8" t="str">
        <f t="shared" si="2"/>
        <v>0.0%</v>
      </c>
      <c r="H13" s="5" t="str">
        <f>Sushanta!H5</f>
        <v>0.0%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5">
        <v>10.0</v>
      </c>
      <c r="B14" s="5" t="s">
        <v>27</v>
      </c>
      <c r="C14" s="6" t="s">
        <v>28</v>
      </c>
      <c r="D14" s="5" t="str">
        <f t="shared" si="1"/>
        <v>OVER</v>
      </c>
      <c r="E14" s="5">
        <v>420.0</v>
      </c>
      <c r="F14" s="7" t="str">
        <f>Anand_Poddar!E12</f>
        <v>420</v>
      </c>
      <c r="G14" s="8" t="str">
        <f t="shared" si="2"/>
        <v>100.0%</v>
      </c>
      <c r="H14" s="5" t="str">
        <f>Anand_Poddar!H12</f>
        <v>100.0% (Package Over)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5">
        <v>11.0</v>
      </c>
      <c r="B15" s="5" t="s">
        <v>29</v>
      </c>
      <c r="C15" s="6" t="s">
        <v>30</v>
      </c>
      <c r="D15" s="5" t="str">
        <f t="shared" si="1"/>
        <v>OVER</v>
      </c>
      <c r="E15" s="5">
        <v>7000.0</v>
      </c>
      <c r="F15" s="7" t="str">
        <f>Debabrata_Dey!E8</f>
        <v>7,000</v>
      </c>
      <c r="G15" s="8" t="str">
        <f t="shared" si="2"/>
        <v>100.0%</v>
      </c>
      <c r="H15" s="5" t="str">
        <f>Debabrata_Dey!H8</f>
        <v>100.0% (Package Over)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5">
        <v>12.0</v>
      </c>
      <c r="B16" s="5" t="s">
        <v>31</v>
      </c>
      <c r="C16" s="6" t="s">
        <v>32</v>
      </c>
      <c r="D16" s="5" t="str">
        <f t="shared" si="1"/>
        <v>ACTIVE</v>
      </c>
      <c r="E16" s="5">
        <v>14420.0</v>
      </c>
      <c r="F16" s="7" t="str">
        <f>Madhumita_Chatterjee!E21</f>
        <v>9,420</v>
      </c>
      <c r="G16" s="8" t="str">
        <f t="shared" si="2"/>
        <v>65.3%</v>
      </c>
      <c r="H16" s="5" t="str">
        <f>Madhumita_Chatterjee!H21</f>
        <v>65.3%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5">
        <v>13.0</v>
      </c>
      <c r="B17" s="5" t="s">
        <v>33</v>
      </c>
      <c r="C17" s="6" t="s">
        <v>34</v>
      </c>
      <c r="D17" s="5" t="str">
        <f t="shared" si="1"/>
        <v>ACTIVE</v>
      </c>
      <c r="E17" s="5">
        <v>2400.0</v>
      </c>
      <c r="F17" s="7" t="str">
        <f>Randhir_Paul!E28</f>
        <v>1,800</v>
      </c>
      <c r="G17" s="8" t="str">
        <f t="shared" si="2"/>
        <v>75.0%</v>
      </c>
      <c r="H17" s="5" t="str">
        <f>Randhir_Paul!H28</f>
        <v>75.0%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5">
        <v>14.0</v>
      </c>
      <c r="B18" s="5" t="s">
        <v>35</v>
      </c>
      <c r="C18" s="6" t="s">
        <v>36</v>
      </c>
      <c r="D18" s="5" t="str">
        <f t="shared" si="1"/>
        <v>ACTIVE</v>
      </c>
      <c r="E18" s="5">
        <v>9200.0</v>
      </c>
      <c r="F18" s="7" t="str">
        <f>Manish_Jaiswal!E21</f>
        <v>9,170</v>
      </c>
      <c r="G18" s="8" t="str">
        <f t="shared" si="2"/>
        <v>99.7%</v>
      </c>
      <c r="H18" s="5" t="str">
        <f>Manish_Jaiswal!H21</f>
        <v>99.7%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5">
        <v>15.0</v>
      </c>
      <c r="B19" s="5" t="s">
        <v>37</v>
      </c>
      <c r="C19" s="6" t="s">
        <v>38</v>
      </c>
      <c r="D19" s="5" t="str">
        <f t="shared" si="1"/>
        <v>ACTIVE</v>
      </c>
      <c r="E19" s="5">
        <v>2400.0</v>
      </c>
      <c r="F19" s="7" t="str">
        <f>RC_Yadav!E41</f>
        <v>2,280</v>
      </c>
      <c r="G19" s="8" t="str">
        <f t="shared" si="2"/>
        <v>95.0%</v>
      </c>
      <c r="H19" s="5" t="str">
        <f>RC_Yadav!H41</f>
        <v>95.0%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5">
        <v>16.0</v>
      </c>
      <c r="B20" s="5" t="s">
        <v>39</v>
      </c>
      <c r="C20" s="6" t="s">
        <v>40</v>
      </c>
      <c r="D20" s="5" t="str">
        <f t="shared" si="1"/>
        <v>ACTIVE</v>
      </c>
      <c r="E20" s="5">
        <v>960.0</v>
      </c>
      <c r="F20" s="7" t="str">
        <f>Indrajit_Basak!E17</f>
        <v>750</v>
      </c>
      <c r="G20" s="8" t="str">
        <f t="shared" si="2"/>
        <v>78.1%</v>
      </c>
      <c r="H20" s="5" t="str">
        <f>Indrajit_Basak!H17</f>
        <v>78.1%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5">
        <v>17.0</v>
      </c>
      <c r="B21" s="5" t="s">
        <v>41</v>
      </c>
      <c r="C21" s="6" t="s">
        <v>42</v>
      </c>
      <c r="D21" s="5" t="str">
        <f t="shared" si="1"/>
        <v>ACTIVE</v>
      </c>
      <c r="E21" s="5">
        <v>14700.0</v>
      </c>
      <c r="F21" s="7" t="str">
        <f>Sumeet!E12</f>
        <v>510</v>
      </c>
      <c r="G21" s="8" t="str">
        <f t="shared" si="2"/>
        <v>3.5%</v>
      </c>
      <c r="H21" s="5" t="str">
        <f>Sumeet!H12</f>
        <v>3.5%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5">
        <v>18.0</v>
      </c>
      <c r="B22" s="5" t="s">
        <v>43</v>
      </c>
      <c r="C22" s="6" t="s">
        <v>44</v>
      </c>
      <c r="D22" s="5" t="str">
        <f t="shared" si="1"/>
        <v>OVER</v>
      </c>
      <c r="E22" s="5">
        <v>900.0</v>
      </c>
      <c r="F22" s="7" t="str">
        <f>Samapti_Roy!E19</f>
        <v>900</v>
      </c>
      <c r="G22" s="8" t="str">
        <f t="shared" si="2"/>
        <v>100.0%</v>
      </c>
      <c r="H22" s="5" t="str">
        <f>Samapti_Roy!H19</f>
        <v>100.0% (Package Over)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5">
        <v>19.0</v>
      </c>
      <c r="B23" s="5" t="s">
        <v>45</v>
      </c>
      <c r="C23" s="6" t="s">
        <v>46</v>
      </c>
      <c r="D23" s="5" t="str">
        <f t="shared" si="1"/>
        <v>ACTIVE</v>
      </c>
      <c r="E23" s="5">
        <v>1200.0</v>
      </c>
      <c r="F23" s="7" t="str">
        <f>MK_Sarkar!E21</f>
        <v>900</v>
      </c>
      <c r="G23" s="8" t="str">
        <f t="shared" si="2"/>
        <v>75.0%</v>
      </c>
      <c r="H23" s="5" t="str">
        <f>MK_Sarkar!H21</f>
        <v>75.0%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5">
        <v>20.0</v>
      </c>
      <c r="B24" s="5" t="s">
        <v>47</v>
      </c>
      <c r="C24" s="6" t="s">
        <v>48</v>
      </c>
      <c r="D24" s="5" t="str">
        <f t="shared" si="1"/>
        <v>OVER</v>
      </c>
      <c r="E24" s="5">
        <v>8650.0</v>
      </c>
      <c r="F24" s="7" t="str">
        <f>Komal_Sinha!E12</f>
        <v>8,650</v>
      </c>
      <c r="G24" s="8" t="str">
        <f t="shared" si="2"/>
        <v>100.0%</v>
      </c>
      <c r="H24" s="5" t="str">
        <f>Komal_Sinha!H12</f>
        <v>100.0% (Package Over)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5">
        <v>21.0</v>
      </c>
      <c r="B25" s="5" t="s">
        <v>49</v>
      </c>
      <c r="C25" s="6" t="s">
        <v>50</v>
      </c>
      <c r="D25" s="5" t="str">
        <f t="shared" si="1"/>
        <v>ACTIVE</v>
      </c>
      <c r="E25" s="5">
        <v>840.0</v>
      </c>
      <c r="F25" s="7" t="str">
        <f>J_Mehta!E14</f>
        <v>810</v>
      </c>
      <c r="G25" s="8" t="str">
        <f t="shared" si="2"/>
        <v>96.4%</v>
      </c>
      <c r="H25" s="5" t="str">
        <f>J_Mehta!H14</f>
        <v>96.4%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5">
        <v>22.0</v>
      </c>
      <c r="B26" s="5" t="s">
        <v>51</v>
      </c>
      <c r="C26" s="6" t="s">
        <v>52</v>
      </c>
      <c r="D26" s="5" t="str">
        <f t="shared" si="1"/>
        <v>ACTIVE</v>
      </c>
      <c r="E26" s="5">
        <v>26900.0</v>
      </c>
      <c r="F26" s="7" t="str">
        <f>Utpal_Chowdhury!E10</f>
        <v>24,900</v>
      </c>
      <c r="G26" s="8" t="str">
        <f t="shared" si="2"/>
        <v>92.6%</v>
      </c>
      <c r="H26" s="5" t="str">
        <f>Utpal_Chowdhury!H10</f>
        <v>92.6%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5">
        <v>23.0</v>
      </c>
      <c r="B27" s="5" t="s">
        <v>53</v>
      </c>
      <c r="C27" s="6" t="s">
        <v>54</v>
      </c>
      <c r="D27" s="5" t="str">
        <f t="shared" si="1"/>
        <v>OVER</v>
      </c>
      <c r="E27" s="5">
        <v>960.0</v>
      </c>
      <c r="F27" s="7" t="str">
        <f>Bijan_Roy_Chowdhury!E15</f>
        <v>960</v>
      </c>
      <c r="G27" s="8" t="str">
        <f t="shared" si="2"/>
        <v>100.0%</v>
      </c>
      <c r="H27" s="5" t="str">
        <f>Bijan_Roy_Chowdhury!H15</f>
        <v>100.0% (Package Over)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5">
        <v>24.0</v>
      </c>
      <c r="B28" s="5" t="s">
        <v>53</v>
      </c>
      <c r="C28" s="6" t="s">
        <v>55</v>
      </c>
      <c r="D28" s="5" t="str">
        <f t="shared" si="1"/>
        <v>ACTIVE</v>
      </c>
      <c r="E28" s="5">
        <v>14710.0</v>
      </c>
      <c r="F28" s="7" t="str">
        <f>Sanjit_Biswas!E14</f>
        <v>14,320</v>
      </c>
      <c r="G28" s="8" t="str">
        <f t="shared" si="2"/>
        <v>97.3%</v>
      </c>
      <c r="H28" s="5" t="str">
        <f>Sanjit_Biswas!H14</f>
        <v>97.3%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5">
        <v>25.0</v>
      </c>
      <c r="B29" s="5" t="s">
        <v>56</v>
      </c>
      <c r="C29" s="6" t="s">
        <v>57</v>
      </c>
      <c r="D29" s="5" t="str">
        <f t="shared" si="1"/>
        <v>ACTIVE</v>
      </c>
      <c r="E29" s="5">
        <v>600.0</v>
      </c>
      <c r="F29" s="7" t="str">
        <f>Rakhi_Senapati!E6</f>
        <v>120</v>
      </c>
      <c r="G29" s="8" t="str">
        <f t="shared" si="2"/>
        <v>20.0%</v>
      </c>
      <c r="H29" s="5" t="str">
        <f>Rakhi_Senapati!H6</f>
        <v>20.0%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5">
        <v>26.0</v>
      </c>
      <c r="B30" s="5" t="s">
        <v>58</v>
      </c>
      <c r="C30" s="6" t="s">
        <v>59</v>
      </c>
      <c r="D30" s="5" t="str">
        <f t="shared" si="1"/>
        <v>ACTIVE</v>
      </c>
      <c r="E30" s="5">
        <v>14000.0</v>
      </c>
      <c r="F30" s="7" t="str">
        <f>Monali_Sengupta!E11</f>
        <v>6,470</v>
      </c>
      <c r="G30" s="8" t="str">
        <f t="shared" si="2"/>
        <v>46.2%</v>
      </c>
      <c r="H30" s="5" t="str">
        <f>Monali_Sengupta!H11</f>
        <v>46.2%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5">
        <v>27.0</v>
      </c>
      <c r="B31" s="5" t="s">
        <v>60</v>
      </c>
      <c r="C31" s="6" t="s">
        <v>61</v>
      </c>
      <c r="D31" s="5" t="str">
        <f t="shared" si="1"/>
        <v>OVER</v>
      </c>
      <c r="E31" s="5">
        <v>600.0</v>
      </c>
      <c r="F31" s="7" t="str">
        <f>Palas_Sarkar!E14</f>
        <v>600</v>
      </c>
      <c r="G31" s="8" t="str">
        <f t="shared" si="2"/>
        <v>100.0%</v>
      </c>
      <c r="H31" s="5" t="str">
        <f>Palas_Sarkar!H14</f>
        <v>100.0% (Package Over)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5">
        <v>28.0</v>
      </c>
      <c r="B32" s="5" t="s">
        <v>62</v>
      </c>
      <c r="C32" s="6" t="s">
        <v>63</v>
      </c>
      <c r="D32" s="5" t="str">
        <f t="shared" si="1"/>
        <v>OVER</v>
      </c>
      <c r="E32" s="5">
        <v>540.0</v>
      </c>
      <c r="F32" s="7" t="str">
        <f>Avisek_Ram!E13</f>
        <v>540</v>
      </c>
      <c r="G32" s="8" t="str">
        <f t="shared" si="2"/>
        <v>100.0%</v>
      </c>
      <c r="H32" s="5" t="str">
        <f>Avisek_Ram!H13</f>
        <v>100.0% (Package Over)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5">
        <v>29.0</v>
      </c>
      <c r="B33" s="5" t="s">
        <v>64</v>
      </c>
      <c r="C33" s="6" t="s">
        <v>65</v>
      </c>
      <c r="D33" s="5" t="str">
        <f t="shared" si="1"/>
        <v>OVER</v>
      </c>
      <c r="E33" s="5">
        <v>600.0</v>
      </c>
      <c r="F33" s="7" t="str">
        <f>Dinesh_Kumar!E14</f>
        <v>600</v>
      </c>
      <c r="G33" s="8" t="str">
        <f t="shared" si="2"/>
        <v>100.0%</v>
      </c>
      <c r="H33" s="5" t="str">
        <f>Dinesh_Kumar!H14</f>
        <v>100.0% (Package Over)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5">
        <v>30.0</v>
      </c>
      <c r="B34" s="5" t="s">
        <v>66</v>
      </c>
      <c r="C34" s="6" t="s">
        <v>67</v>
      </c>
      <c r="D34" s="5" t="str">
        <f t="shared" si="1"/>
        <v>ACTIVE</v>
      </c>
      <c r="E34" s="5">
        <v>480.0</v>
      </c>
      <c r="F34" s="7" t="str">
        <f>Subhendu_Chatterjee!E9</f>
        <v>300</v>
      </c>
      <c r="G34" s="8" t="str">
        <f t="shared" si="2"/>
        <v>62.5%</v>
      </c>
      <c r="H34" s="5" t="str">
        <f>Subhendu_Chatterjee!H9</f>
        <v>62.5%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5">
        <v>31.0</v>
      </c>
      <c r="B35" s="5" t="s">
        <v>68</v>
      </c>
      <c r="C35" s="6" t="s">
        <v>69</v>
      </c>
      <c r="D35" s="5" t="str">
        <f t="shared" si="1"/>
        <v>ACTIVE</v>
      </c>
      <c r="E35" s="5">
        <v>480.0</v>
      </c>
      <c r="F35" s="7" t="str">
        <f>Tripti_Karmakar!E8</f>
        <v>240</v>
      </c>
      <c r="G35" s="8" t="str">
        <f t="shared" si="2"/>
        <v>50.0%</v>
      </c>
      <c r="H35" s="5" t="str">
        <f>Tripti_Karmakar!H8</f>
        <v>50.0%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5">
        <v>32.0</v>
      </c>
      <c r="B36" s="5" t="s">
        <v>70</v>
      </c>
      <c r="C36" s="6" t="s">
        <v>71</v>
      </c>
      <c r="D36" s="5" t="str">
        <f t="shared" si="1"/>
        <v>ACTIVE</v>
      </c>
      <c r="E36" s="5">
        <v>660.0</v>
      </c>
      <c r="F36" s="7" t="str">
        <f>Shayamal_Das!E7</f>
        <v>240</v>
      </c>
      <c r="G36" s="8" t="str">
        <f t="shared" si="2"/>
        <v>36.4%</v>
      </c>
      <c r="H36" s="5" t="str">
        <f>Shayamal_Das!H7</f>
        <v>36.4%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5">
        <v>33.0</v>
      </c>
      <c r="B37" s="5" t="s">
        <v>72</v>
      </c>
      <c r="C37" s="6" t="s">
        <v>73</v>
      </c>
      <c r="D37" s="5" t="str">
        <f t="shared" si="1"/>
        <v>OVER</v>
      </c>
      <c r="E37" s="5">
        <v>480.0</v>
      </c>
      <c r="F37" s="7" t="str">
        <f>Subhandip_Das!E11</f>
        <v>480</v>
      </c>
      <c r="G37" s="8" t="str">
        <f t="shared" si="2"/>
        <v>100.0%</v>
      </c>
      <c r="H37" s="5" t="str">
        <f>Subhandip_Das!H11</f>
        <v>100.0% (Package Over)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5">
        <v>34.0</v>
      </c>
      <c r="B38" s="5" t="s">
        <v>72</v>
      </c>
      <c r="C38" s="6" t="s">
        <v>74</v>
      </c>
      <c r="D38" s="5" t="str">
        <f t="shared" si="1"/>
        <v>ACTIVE</v>
      </c>
      <c r="E38" s="5">
        <v>7000.0</v>
      </c>
      <c r="F38" s="7" t="str">
        <f>Vivek_Partwani!E7</f>
        <v>2,850</v>
      </c>
      <c r="G38" s="8" t="str">
        <f t="shared" si="2"/>
        <v>40.7%</v>
      </c>
      <c r="H38" s="5" t="str">
        <f>Vivek_Partwani!H7</f>
        <v>40.7%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5">
        <v>35.0</v>
      </c>
      <c r="B39" s="5" t="s">
        <v>75</v>
      </c>
      <c r="C39" s="6" t="s">
        <v>76</v>
      </c>
      <c r="D39" s="5" t="str">
        <f t="shared" si="1"/>
        <v>ACTIVE</v>
      </c>
      <c r="E39" s="5">
        <v>14000.0</v>
      </c>
      <c r="F39" s="7" t="str">
        <f>Vivek_Gupta!E8</f>
        <v>7,000</v>
      </c>
      <c r="G39" s="8" t="str">
        <f t="shared" si="2"/>
        <v>50.0%</v>
      </c>
      <c r="H39" s="5" t="str">
        <f>Vivek_Gupta!H8</f>
        <v>50.0%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5">
        <v>36.0</v>
      </c>
      <c r="B40" s="5" t="s">
        <v>77</v>
      </c>
      <c r="C40" s="6" t="s">
        <v>78</v>
      </c>
      <c r="D40" s="5" t="str">
        <f t="shared" si="1"/>
        <v>ACTIVE</v>
      </c>
      <c r="E40" s="5">
        <v>960.0</v>
      </c>
      <c r="F40" s="7" t="str">
        <f>Kishor_Kumar_Chatterjee!E19</f>
        <v>930</v>
      </c>
      <c r="G40" s="8" t="str">
        <f t="shared" si="2"/>
        <v>96.9%</v>
      </c>
      <c r="H40" s="5" t="str">
        <f>Kishor_Kumar_Chatterjee!H19</f>
        <v>96.9%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</row>
  </sheetData>
  <autoFilter ref="$A$4:$H$26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6.0"/>
    <col customWidth="1" min="2" max="2" width="16.0"/>
    <col customWidth="1" min="3" max="3" width="25.0"/>
    <col customWidth="1" min="4" max="4" width="23.0"/>
    <col customWidth="1" min="5" max="5" width="20.0"/>
    <col customWidth="1" min="6" max="6" width="21.0"/>
    <col customWidth="1" min="7" max="7" width="22.0"/>
    <col customWidth="1" min="8" max="8" width="27.0"/>
  </cols>
  <sheetData>
    <row r="1">
      <c r="A1" s="1" t="s">
        <v>79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80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81</v>
      </c>
      <c r="B4" s="4" t="s">
        <v>82</v>
      </c>
      <c r="C4" s="4" t="s">
        <v>83</v>
      </c>
      <c r="D4" s="4" t="s">
        <v>84</v>
      </c>
      <c r="E4" s="4" t="s">
        <v>85</v>
      </c>
      <c r="F4" s="4" t="s">
        <v>86</v>
      </c>
      <c r="G4" s="4" t="s">
        <v>87</v>
      </c>
      <c r="H4" s="4" t="s">
        <v>9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9">
        <v>1.0</v>
      </c>
      <c r="B5" s="9" t="s">
        <v>10</v>
      </c>
      <c r="C5" s="10">
        <v>60.0</v>
      </c>
      <c r="D5" s="10" t="s">
        <v>88</v>
      </c>
      <c r="E5" s="11" t="str">
        <f>C5</f>
        <v>60</v>
      </c>
      <c r="F5" s="11" t="str">
        <f t="shared" ref="F5:F13" si="1">900-E5</f>
        <v>840</v>
      </c>
      <c r="G5" s="12" t="str">
        <f t="shared" ref="G5:G13" si="2">E5/900</f>
        <v>6.7%</v>
      </c>
      <c r="H5" s="13" t="str">
        <f t="shared" ref="H5:H13" si="3">IF(G5&gt;=1, "100.0% (Package Over)", TEXT(MIN(G5*100, 99.9), "0.0") &amp; "%")</f>
        <v>6.7%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4">
        <v>2.0</v>
      </c>
      <c r="B6" s="14" t="s">
        <v>89</v>
      </c>
      <c r="C6" s="15">
        <v>60.0</v>
      </c>
      <c r="D6" s="15" t="s">
        <v>88</v>
      </c>
      <c r="E6" s="16" t="str">
        <f t="shared" ref="E6:E13" si="4">E5+C6</f>
        <v>120</v>
      </c>
      <c r="F6" s="16" t="str">
        <f t="shared" si="1"/>
        <v>780</v>
      </c>
      <c r="G6" s="17" t="str">
        <f t="shared" si="2"/>
        <v>13.3%</v>
      </c>
      <c r="H6" s="13" t="str">
        <f t="shared" si="3"/>
        <v>13.3%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3.0</v>
      </c>
      <c r="B7" s="9" t="s">
        <v>90</v>
      </c>
      <c r="C7" s="10">
        <v>60.0</v>
      </c>
      <c r="D7" s="10" t="s">
        <v>91</v>
      </c>
      <c r="E7" s="11" t="str">
        <f t="shared" si="4"/>
        <v>180</v>
      </c>
      <c r="F7" s="11" t="str">
        <f t="shared" si="1"/>
        <v>720</v>
      </c>
      <c r="G7" s="12" t="str">
        <f t="shared" si="2"/>
        <v>20.0%</v>
      </c>
      <c r="H7" s="13" t="str">
        <f t="shared" si="3"/>
        <v>20.0%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4">
        <v>4.0</v>
      </c>
      <c r="B8" s="14" t="s">
        <v>92</v>
      </c>
      <c r="C8" s="15">
        <v>60.0</v>
      </c>
      <c r="D8" s="15" t="s">
        <v>93</v>
      </c>
      <c r="E8" s="16" t="str">
        <f t="shared" si="4"/>
        <v>240</v>
      </c>
      <c r="F8" s="16" t="str">
        <f t="shared" si="1"/>
        <v>660</v>
      </c>
      <c r="G8" s="17" t="str">
        <f t="shared" si="2"/>
        <v>26.7%</v>
      </c>
      <c r="H8" s="13" t="str">
        <f t="shared" si="3"/>
        <v>26.7%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9">
        <v>5.0</v>
      </c>
      <c r="B9" s="9" t="s">
        <v>94</v>
      </c>
      <c r="C9" s="10">
        <v>60.0</v>
      </c>
      <c r="D9" s="10" t="s">
        <v>95</v>
      </c>
      <c r="E9" s="11" t="str">
        <f t="shared" si="4"/>
        <v>300</v>
      </c>
      <c r="F9" s="11" t="str">
        <f t="shared" si="1"/>
        <v>600</v>
      </c>
      <c r="G9" s="12" t="str">
        <f t="shared" si="2"/>
        <v>33.3%</v>
      </c>
      <c r="H9" s="13" t="str">
        <f t="shared" si="3"/>
        <v>33.3%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4">
        <v>6.0</v>
      </c>
      <c r="B10" s="14" t="s">
        <v>96</v>
      </c>
      <c r="C10" s="15">
        <v>30.0</v>
      </c>
      <c r="D10" s="15" t="s">
        <v>93</v>
      </c>
      <c r="E10" s="16" t="str">
        <f t="shared" si="4"/>
        <v>330</v>
      </c>
      <c r="F10" s="16" t="str">
        <f t="shared" si="1"/>
        <v>570</v>
      </c>
      <c r="G10" s="17" t="str">
        <f t="shared" si="2"/>
        <v>36.7%</v>
      </c>
      <c r="H10" s="13" t="str">
        <f t="shared" si="3"/>
        <v>36.7%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9">
        <v>7.0</v>
      </c>
      <c r="B11" s="9" t="s">
        <v>97</v>
      </c>
      <c r="C11" s="10">
        <v>90.0</v>
      </c>
      <c r="D11" s="10" t="s">
        <v>93</v>
      </c>
      <c r="E11" s="11" t="str">
        <f t="shared" si="4"/>
        <v>420</v>
      </c>
      <c r="F11" s="11" t="str">
        <f t="shared" si="1"/>
        <v>480</v>
      </c>
      <c r="G11" s="12" t="str">
        <f t="shared" si="2"/>
        <v>46.7%</v>
      </c>
      <c r="H11" s="13" t="str">
        <f t="shared" si="3"/>
        <v>46.7%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4">
        <v>8.0</v>
      </c>
      <c r="B12" s="14" t="s">
        <v>98</v>
      </c>
      <c r="C12" s="15">
        <v>60.0</v>
      </c>
      <c r="D12" s="15" t="s">
        <v>99</v>
      </c>
      <c r="E12" s="16" t="str">
        <f t="shared" si="4"/>
        <v>480</v>
      </c>
      <c r="F12" s="16" t="str">
        <f t="shared" si="1"/>
        <v>420</v>
      </c>
      <c r="G12" s="17" t="str">
        <f t="shared" si="2"/>
        <v>53.3%</v>
      </c>
      <c r="H12" s="13" t="str">
        <f t="shared" si="3"/>
        <v>53.3%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9">
        <v>9.0</v>
      </c>
      <c r="B13" s="9" t="s">
        <v>100</v>
      </c>
      <c r="C13" s="10">
        <v>30.0</v>
      </c>
      <c r="D13" s="10" t="s">
        <v>101</v>
      </c>
      <c r="E13" s="11" t="str">
        <f t="shared" si="4"/>
        <v>510</v>
      </c>
      <c r="F13" s="11" t="str">
        <f t="shared" si="1"/>
        <v>390</v>
      </c>
      <c r="G13" s="12" t="str">
        <f t="shared" si="2"/>
        <v>56.7%</v>
      </c>
      <c r="H13" s="13" t="str">
        <f t="shared" si="3"/>
        <v>56.7%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4.0"/>
    <col customWidth="1" min="3" max="3" width="22.0"/>
    <col customWidth="1" min="4" max="4" width="30.0"/>
    <col customWidth="1" min="5" max="6" width="18.0"/>
    <col customWidth="1" min="7" max="7" width="20.0"/>
    <col customWidth="1" min="8" max="8" width="24.0"/>
  </cols>
  <sheetData>
    <row r="1">
      <c r="A1" s="18" t="s">
        <v>102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9" t="s">
        <v>103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0" t="s">
        <v>81</v>
      </c>
      <c r="B4" s="20" t="s">
        <v>82</v>
      </c>
      <c r="C4" s="20" t="s">
        <v>83</v>
      </c>
      <c r="D4" s="20" t="s">
        <v>84</v>
      </c>
      <c r="E4" s="20" t="s">
        <v>85</v>
      </c>
      <c r="F4" s="20" t="s">
        <v>86</v>
      </c>
      <c r="G4" s="20" t="s">
        <v>87</v>
      </c>
      <c r="H4" s="20" t="s">
        <v>9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5">
        <v>1.0</v>
      </c>
      <c r="B5" s="5" t="s">
        <v>12</v>
      </c>
      <c r="C5" s="5">
        <v>60.0</v>
      </c>
      <c r="D5" s="6" t="s">
        <v>104</v>
      </c>
      <c r="E5" s="5" t="str">
        <f>C5</f>
        <v>60</v>
      </c>
      <c r="F5" s="5" t="str">
        <f t="shared" ref="F5:F27" si="1">2580-E5</f>
        <v>2520</v>
      </c>
      <c r="G5" s="8" t="str">
        <f t="shared" ref="G5:G27" si="2">E5/2580</f>
        <v>2.3%</v>
      </c>
      <c r="H5" s="5" t="str">
        <f t="shared" ref="H5:H27" si="3">IF(G5&gt;=1, "100.0% (Package Over)", TEXT(MIN(G5*100, 99.9), "0.0") &amp; "%")</f>
        <v>2.3%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>
        <v>2.0</v>
      </c>
      <c r="B6" s="5" t="s">
        <v>105</v>
      </c>
      <c r="C6" s="5">
        <v>90.0</v>
      </c>
      <c r="D6" s="6" t="s">
        <v>106</v>
      </c>
      <c r="E6" s="5" t="str">
        <f t="shared" ref="E6:E27" si="4">E5+C6</f>
        <v>150</v>
      </c>
      <c r="F6" s="5" t="str">
        <f t="shared" si="1"/>
        <v>2430</v>
      </c>
      <c r="G6" s="8" t="str">
        <f t="shared" si="2"/>
        <v>5.8%</v>
      </c>
      <c r="H6" s="5" t="str">
        <f t="shared" si="3"/>
        <v>5.8%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5">
        <v>3.0</v>
      </c>
      <c r="B7" s="5" t="s">
        <v>107</v>
      </c>
      <c r="C7" s="5">
        <v>120.0</v>
      </c>
      <c r="D7" s="6" t="s">
        <v>93</v>
      </c>
      <c r="E7" s="5" t="str">
        <f t="shared" si="4"/>
        <v>270</v>
      </c>
      <c r="F7" s="5" t="str">
        <f t="shared" si="1"/>
        <v>2310</v>
      </c>
      <c r="G7" s="8" t="str">
        <f t="shared" si="2"/>
        <v>10.5%</v>
      </c>
      <c r="H7" s="5" t="str">
        <f t="shared" si="3"/>
        <v>10.5%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5">
        <v>4.0</v>
      </c>
      <c r="B8" s="5" t="s">
        <v>108</v>
      </c>
      <c r="C8" s="5">
        <v>60.0</v>
      </c>
      <c r="D8" s="6" t="s">
        <v>91</v>
      </c>
      <c r="E8" s="5" t="str">
        <f t="shared" si="4"/>
        <v>330</v>
      </c>
      <c r="F8" s="5" t="str">
        <f t="shared" si="1"/>
        <v>2250</v>
      </c>
      <c r="G8" s="8" t="str">
        <f t="shared" si="2"/>
        <v>12.8%</v>
      </c>
      <c r="H8" s="5" t="str">
        <f t="shared" si="3"/>
        <v>12.8%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5">
        <v>5.0</v>
      </c>
      <c r="B9" s="5" t="s">
        <v>89</v>
      </c>
      <c r="C9" s="5">
        <v>90.0</v>
      </c>
      <c r="D9" s="6" t="s">
        <v>93</v>
      </c>
      <c r="E9" s="5" t="str">
        <f t="shared" si="4"/>
        <v>420</v>
      </c>
      <c r="F9" s="5" t="str">
        <f t="shared" si="1"/>
        <v>2160</v>
      </c>
      <c r="G9" s="8" t="str">
        <f t="shared" si="2"/>
        <v>16.3%</v>
      </c>
      <c r="H9" s="5" t="str">
        <f t="shared" si="3"/>
        <v>16.3%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5">
        <v>6.0</v>
      </c>
      <c r="B10" s="5" t="s">
        <v>109</v>
      </c>
      <c r="C10" s="5">
        <v>90.0</v>
      </c>
      <c r="D10" s="6" t="s">
        <v>91</v>
      </c>
      <c r="E10" s="5" t="str">
        <f t="shared" si="4"/>
        <v>510</v>
      </c>
      <c r="F10" s="5" t="str">
        <f t="shared" si="1"/>
        <v>2070</v>
      </c>
      <c r="G10" s="8" t="str">
        <f t="shared" si="2"/>
        <v>19.8%</v>
      </c>
      <c r="H10" s="5" t="str">
        <f t="shared" si="3"/>
        <v>19.8%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5">
        <v>7.0</v>
      </c>
      <c r="B11" s="5" t="s">
        <v>110</v>
      </c>
      <c r="C11" s="5">
        <v>120.0</v>
      </c>
      <c r="D11" s="6" t="s">
        <v>93</v>
      </c>
      <c r="E11" s="5" t="str">
        <f t="shared" si="4"/>
        <v>630</v>
      </c>
      <c r="F11" s="5" t="str">
        <f t="shared" si="1"/>
        <v>1950</v>
      </c>
      <c r="G11" s="8" t="str">
        <f t="shared" si="2"/>
        <v>24.4%</v>
      </c>
      <c r="H11" s="5" t="str">
        <f t="shared" si="3"/>
        <v>24.4%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5">
        <v>8.0</v>
      </c>
      <c r="B12" s="5" t="s">
        <v>111</v>
      </c>
      <c r="C12" s="5">
        <v>60.0</v>
      </c>
      <c r="D12" s="6" t="s">
        <v>93</v>
      </c>
      <c r="E12" s="5" t="str">
        <f t="shared" si="4"/>
        <v>690</v>
      </c>
      <c r="F12" s="5" t="str">
        <f t="shared" si="1"/>
        <v>1890</v>
      </c>
      <c r="G12" s="8" t="str">
        <f t="shared" si="2"/>
        <v>26.7%</v>
      </c>
      <c r="H12" s="5" t="str">
        <f t="shared" si="3"/>
        <v>26.7%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5">
        <v>9.0</v>
      </c>
      <c r="B13" s="5" t="s">
        <v>112</v>
      </c>
      <c r="C13" s="5">
        <v>120.0</v>
      </c>
      <c r="D13" s="6" t="s">
        <v>93</v>
      </c>
      <c r="E13" s="5" t="str">
        <f t="shared" si="4"/>
        <v>810</v>
      </c>
      <c r="F13" s="5" t="str">
        <f t="shared" si="1"/>
        <v>1770</v>
      </c>
      <c r="G13" s="8" t="str">
        <f t="shared" si="2"/>
        <v>31.4%</v>
      </c>
      <c r="H13" s="5" t="str">
        <f t="shared" si="3"/>
        <v>31.4%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5">
        <v>10.0</v>
      </c>
      <c r="B14" s="5" t="s">
        <v>23</v>
      </c>
      <c r="C14" s="5">
        <v>60.0</v>
      </c>
      <c r="D14" s="6" t="s">
        <v>113</v>
      </c>
      <c r="E14" s="5" t="str">
        <f t="shared" si="4"/>
        <v>870</v>
      </c>
      <c r="F14" s="5" t="str">
        <f t="shared" si="1"/>
        <v>1710</v>
      </c>
      <c r="G14" s="8" t="str">
        <f t="shared" si="2"/>
        <v>33.7%</v>
      </c>
      <c r="H14" s="5" t="str">
        <f t="shared" si="3"/>
        <v>33.7%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5">
        <v>11.0</v>
      </c>
      <c r="B15" s="5" t="s">
        <v>114</v>
      </c>
      <c r="C15" s="5">
        <v>30.0</v>
      </c>
      <c r="D15" s="6" t="s">
        <v>115</v>
      </c>
      <c r="E15" s="5" t="str">
        <f t="shared" si="4"/>
        <v>900</v>
      </c>
      <c r="F15" s="5" t="str">
        <f t="shared" si="1"/>
        <v>1680</v>
      </c>
      <c r="G15" s="8" t="str">
        <f t="shared" si="2"/>
        <v>34.9%</v>
      </c>
      <c r="H15" s="5" t="str">
        <f t="shared" si="3"/>
        <v>34.9%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5">
        <v>12.0</v>
      </c>
      <c r="B16" s="5" t="s">
        <v>116</v>
      </c>
      <c r="C16" s="5">
        <v>60.0</v>
      </c>
      <c r="D16" s="6" t="s">
        <v>117</v>
      </c>
      <c r="E16" s="5" t="str">
        <f t="shared" si="4"/>
        <v>960</v>
      </c>
      <c r="F16" s="5" t="str">
        <f t="shared" si="1"/>
        <v>1620</v>
      </c>
      <c r="G16" s="8" t="str">
        <f t="shared" si="2"/>
        <v>37.2%</v>
      </c>
      <c r="H16" s="5" t="str">
        <f t="shared" si="3"/>
        <v>37.2%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5">
        <v>13.0</v>
      </c>
      <c r="B17" s="5" t="s">
        <v>118</v>
      </c>
      <c r="C17" s="5">
        <v>90.0</v>
      </c>
      <c r="D17" s="6" t="s">
        <v>119</v>
      </c>
      <c r="E17" s="5" t="str">
        <f t="shared" si="4"/>
        <v>1050</v>
      </c>
      <c r="F17" s="5" t="str">
        <f t="shared" si="1"/>
        <v>1530</v>
      </c>
      <c r="G17" s="8" t="str">
        <f t="shared" si="2"/>
        <v>40.7%</v>
      </c>
      <c r="H17" s="5" t="str">
        <f t="shared" si="3"/>
        <v>40.7%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5">
        <v>14.0</v>
      </c>
      <c r="B18" s="5" t="s">
        <v>120</v>
      </c>
      <c r="C18" s="5">
        <v>150.0</v>
      </c>
      <c r="D18" s="6" t="s">
        <v>121</v>
      </c>
      <c r="E18" s="5" t="str">
        <f t="shared" si="4"/>
        <v>1200</v>
      </c>
      <c r="F18" s="5" t="str">
        <f t="shared" si="1"/>
        <v>1380</v>
      </c>
      <c r="G18" s="8" t="str">
        <f t="shared" si="2"/>
        <v>46.5%</v>
      </c>
      <c r="H18" s="5" t="str">
        <f t="shared" si="3"/>
        <v>46.5%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5">
        <v>15.0</v>
      </c>
      <c r="B19" s="5" t="s">
        <v>122</v>
      </c>
      <c r="C19" s="5">
        <v>60.0</v>
      </c>
      <c r="D19" s="6" t="s">
        <v>119</v>
      </c>
      <c r="E19" s="5" t="str">
        <f t="shared" si="4"/>
        <v>1260</v>
      </c>
      <c r="F19" s="5" t="str">
        <f t="shared" si="1"/>
        <v>1320</v>
      </c>
      <c r="G19" s="8" t="str">
        <f t="shared" si="2"/>
        <v>48.8%</v>
      </c>
      <c r="H19" s="5" t="str">
        <f t="shared" si="3"/>
        <v>48.8%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5">
        <v>16.0</v>
      </c>
      <c r="B20" s="5" t="s">
        <v>53</v>
      </c>
      <c r="C20" s="5">
        <v>30.0</v>
      </c>
      <c r="D20" s="6" t="s">
        <v>123</v>
      </c>
      <c r="E20" s="5" t="str">
        <f t="shared" si="4"/>
        <v>1290</v>
      </c>
      <c r="F20" s="5" t="str">
        <f t="shared" si="1"/>
        <v>1290</v>
      </c>
      <c r="G20" s="8" t="str">
        <f t="shared" si="2"/>
        <v>50.0%</v>
      </c>
      <c r="H20" s="5" t="str">
        <f t="shared" si="3"/>
        <v>50.0%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5">
        <v>17.0</v>
      </c>
      <c r="B21" s="5" t="s">
        <v>53</v>
      </c>
      <c r="C21" s="5">
        <v>60.0</v>
      </c>
      <c r="D21" s="6" t="s">
        <v>124</v>
      </c>
      <c r="E21" s="5" t="str">
        <f t="shared" si="4"/>
        <v>1350</v>
      </c>
      <c r="F21" s="5" t="str">
        <f t="shared" si="1"/>
        <v>1230</v>
      </c>
      <c r="G21" s="8" t="str">
        <f t="shared" si="2"/>
        <v>52.3%</v>
      </c>
      <c r="H21" s="5" t="str">
        <f t="shared" si="3"/>
        <v>52.3%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5">
        <v>18.0</v>
      </c>
      <c r="B22" s="5" t="s">
        <v>125</v>
      </c>
      <c r="C22" s="5">
        <v>60.0</v>
      </c>
      <c r="D22" s="6" t="s">
        <v>91</v>
      </c>
      <c r="E22" s="5" t="str">
        <f t="shared" si="4"/>
        <v>1410</v>
      </c>
      <c r="F22" s="5" t="str">
        <f t="shared" si="1"/>
        <v>1170</v>
      </c>
      <c r="G22" s="8" t="str">
        <f t="shared" si="2"/>
        <v>54.7%</v>
      </c>
      <c r="H22" s="5" t="str">
        <f t="shared" si="3"/>
        <v>54.7%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5">
        <v>19.0</v>
      </c>
      <c r="B23" s="5" t="s">
        <v>126</v>
      </c>
      <c r="C23" s="5">
        <v>60.0</v>
      </c>
      <c r="D23" s="6" t="s">
        <v>95</v>
      </c>
      <c r="E23" s="5" t="str">
        <f t="shared" si="4"/>
        <v>1470</v>
      </c>
      <c r="F23" s="5" t="str">
        <f t="shared" si="1"/>
        <v>1110</v>
      </c>
      <c r="G23" s="8" t="str">
        <f t="shared" si="2"/>
        <v>57.0%</v>
      </c>
      <c r="H23" s="5" t="str">
        <f t="shared" si="3"/>
        <v>57.0%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5">
        <v>20.0</v>
      </c>
      <c r="B24" s="5" t="s">
        <v>127</v>
      </c>
      <c r="C24" s="5">
        <v>60.0</v>
      </c>
      <c r="D24" s="6" t="s">
        <v>128</v>
      </c>
      <c r="E24" s="5" t="str">
        <f t="shared" si="4"/>
        <v>1530</v>
      </c>
      <c r="F24" s="5" t="str">
        <f t="shared" si="1"/>
        <v>1050</v>
      </c>
      <c r="G24" s="8" t="str">
        <f t="shared" si="2"/>
        <v>59.3%</v>
      </c>
      <c r="H24" s="5" t="str">
        <f t="shared" si="3"/>
        <v>59.3%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5">
        <v>21.0</v>
      </c>
      <c r="B25" s="5" t="s">
        <v>129</v>
      </c>
      <c r="C25" s="5">
        <v>60.0</v>
      </c>
      <c r="D25" s="6" t="s">
        <v>130</v>
      </c>
      <c r="E25" s="5" t="str">
        <f t="shared" si="4"/>
        <v>1590</v>
      </c>
      <c r="F25" s="5" t="str">
        <f t="shared" si="1"/>
        <v>990</v>
      </c>
      <c r="G25" s="8" t="str">
        <f t="shared" si="2"/>
        <v>61.6%</v>
      </c>
      <c r="H25" s="5" t="str">
        <f t="shared" si="3"/>
        <v>61.6%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5">
        <v>22.0</v>
      </c>
      <c r="B26" s="5" t="s">
        <v>131</v>
      </c>
      <c r="C26" s="5">
        <v>60.0</v>
      </c>
      <c r="D26" s="6" t="s">
        <v>132</v>
      </c>
      <c r="E26" s="5" t="str">
        <f t="shared" si="4"/>
        <v>1650</v>
      </c>
      <c r="F26" s="5" t="str">
        <f t="shared" si="1"/>
        <v>930</v>
      </c>
      <c r="G26" s="8" t="str">
        <f t="shared" si="2"/>
        <v>64.0%</v>
      </c>
      <c r="H26" s="5" t="str">
        <f t="shared" si="3"/>
        <v>64.0%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5">
        <v>23.0</v>
      </c>
      <c r="B27" s="5" t="s">
        <v>133</v>
      </c>
      <c r="C27" s="5">
        <v>60.0</v>
      </c>
      <c r="D27" s="6" t="s">
        <v>134</v>
      </c>
      <c r="E27" s="5" t="str">
        <f t="shared" si="4"/>
        <v>1710</v>
      </c>
      <c r="F27" s="5" t="str">
        <f t="shared" si="1"/>
        <v>870</v>
      </c>
      <c r="G27" s="8" t="str">
        <f t="shared" si="2"/>
        <v>66.3%</v>
      </c>
      <c r="H27" s="5" t="str">
        <f t="shared" si="3"/>
        <v>66.3%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3.0"/>
    <col customWidth="1" min="2" max="2" width="16.0"/>
    <col customWidth="1" min="3" max="3" width="25.0"/>
    <col customWidth="1" min="4" max="4" width="23.0"/>
    <col customWidth="1" min="5" max="5" width="20.0"/>
    <col customWidth="1" min="6" max="6" width="21.0"/>
    <col customWidth="1" min="7" max="7" width="22.0"/>
    <col customWidth="1" min="8" max="8" width="27.0"/>
  </cols>
  <sheetData>
    <row r="1">
      <c r="A1" s="1" t="s">
        <v>135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136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81</v>
      </c>
      <c r="B4" s="4" t="s">
        <v>82</v>
      </c>
      <c r="C4" s="4" t="s">
        <v>83</v>
      </c>
      <c r="D4" s="4" t="s">
        <v>84</v>
      </c>
      <c r="E4" s="4" t="s">
        <v>85</v>
      </c>
      <c r="F4" s="4" t="s">
        <v>86</v>
      </c>
      <c r="G4" s="4" t="s">
        <v>87</v>
      </c>
      <c r="H4" s="4" t="s">
        <v>9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9">
        <v>1.0</v>
      </c>
      <c r="B5" s="9" t="s">
        <v>137</v>
      </c>
      <c r="C5" s="10">
        <v>90.0</v>
      </c>
      <c r="D5" s="10" t="s">
        <v>138</v>
      </c>
      <c r="E5" s="11" t="str">
        <f>C5</f>
        <v>90</v>
      </c>
      <c r="F5" s="11" t="str">
        <f t="shared" ref="F5:F6" si="1">300-E5</f>
        <v>210</v>
      </c>
      <c r="G5" s="12" t="str">
        <f t="shared" ref="G5:G6" si="2">E5/300</f>
        <v>30.0%</v>
      </c>
      <c r="H5" s="13" t="str">
        <f t="shared" ref="H5:H6" si="3">IF(G5&gt;=1, "100.0% (Package Over)", TEXT(MIN(G5*100, 99.9), "0.0") &amp; "%")</f>
        <v>30.0%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4">
        <v>2.0</v>
      </c>
      <c r="B6" s="14" t="s">
        <v>137</v>
      </c>
      <c r="C6" s="15">
        <v>90.0</v>
      </c>
      <c r="D6" s="15" t="s">
        <v>139</v>
      </c>
      <c r="E6" s="16" t="str">
        <f>E5+C6</f>
        <v>180</v>
      </c>
      <c r="F6" s="16" t="str">
        <f t="shared" si="1"/>
        <v>120</v>
      </c>
      <c r="G6" s="17" t="str">
        <f t="shared" si="2"/>
        <v>60.0%</v>
      </c>
      <c r="H6" s="13" t="str">
        <f t="shared" si="3"/>
        <v>60.0%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2.0"/>
    <col customWidth="1" min="2" max="2" width="16.0"/>
    <col customWidth="1" min="3" max="3" width="25.0"/>
    <col customWidth="1" min="4" max="4" width="23.0"/>
    <col customWidth="1" min="5" max="5" width="20.0"/>
    <col customWidth="1" min="6" max="6" width="21.0"/>
    <col customWidth="1" min="7" max="7" width="22.0"/>
    <col customWidth="1" min="8" max="8" width="27.0"/>
  </cols>
  <sheetData>
    <row r="1">
      <c r="A1" s="1" t="s">
        <v>140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141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81</v>
      </c>
      <c r="B4" s="4" t="s">
        <v>82</v>
      </c>
      <c r="C4" s="4" t="s">
        <v>83</v>
      </c>
      <c r="D4" s="4" t="s">
        <v>84</v>
      </c>
      <c r="E4" s="4" t="s">
        <v>85</v>
      </c>
      <c r="F4" s="4" t="s">
        <v>86</v>
      </c>
      <c r="G4" s="4" t="s">
        <v>87</v>
      </c>
      <c r="H4" s="4" t="s">
        <v>9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9">
        <v>1.0</v>
      </c>
      <c r="B5" s="9" t="s">
        <v>16</v>
      </c>
      <c r="C5" s="10">
        <v>60.0</v>
      </c>
      <c r="D5" s="10" t="s">
        <v>93</v>
      </c>
      <c r="E5" s="11" t="str">
        <f>C5</f>
        <v>60</v>
      </c>
      <c r="F5" s="11" t="str">
        <f t="shared" ref="F5:F9" si="1">360-E5</f>
        <v>300</v>
      </c>
      <c r="G5" s="12" t="str">
        <f t="shared" ref="G5:G9" si="2">E5/360</f>
        <v>16.7%</v>
      </c>
      <c r="H5" s="13" t="str">
        <f t="shared" ref="H5:H9" si="3">IF(G5&gt;=1, "100.0% (Package Over)", TEXT(MIN(G5*100, 99.9), "0.0") &amp; "%")</f>
        <v>16.7%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4">
        <v>2.0</v>
      </c>
      <c r="B6" s="14" t="s">
        <v>142</v>
      </c>
      <c r="C6" s="15">
        <v>60.0</v>
      </c>
      <c r="D6" s="15" t="s">
        <v>143</v>
      </c>
      <c r="E6" s="16" t="str">
        <f t="shared" ref="E6:E9" si="4">E5+C6</f>
        <v>120</v>
      </c>
      <c r="F6" s="16" t="str">
        <f t="shared" si="1"/>
        <v>240</v>
      </c>
      <c r="G6" s="17" t="str">
        <f t="shared" si="2"/>
        <v>33.3%</v>
      </c>
      <c r="H6" s="13" t="str">
        <f t="shared" si="3"/>
        <v>33.3%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3.0</v>
      </c>
      <c r="B7" s="9" t="s">
        <v>64</v>
      </c>
      <c r="C7" s="10">
        <v>140.0</v>
      </c>
      <c r="D7" s="10" t="s">
        <v>93</v>
      </c>
      <c r="E7" s="11" t="str">
        <f t="shared" si="4"/>
        <v>260</v>
      </c>
      <c r="F7" s="11" t="str">
        <f t="shared" si="1"/>
        <v>100</v>
      </c>
      <c r="G7" s="12" t="str">
        <f t="shared" si="2"/>
        <v>72.2%</v>
      </c>
      <c r="H7" s="13" t="str">
        <f t="shared" si="3"/>
        <v>72.2%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4">
        <v>4.0</v>
      </c>
      <c r="B8" s="14" t="s">
        <v>144</v>
      </c>
      <c r="C8" s="15">
        <v>90.0</v>
      </c>
      <c r="D8" s="15" t="s">
        <v>95</v>
      </c>
      <c r="E8" s="16" t="str">
        <f t="shared" si="4"/>
        <v>350</v>
      </c>
      <c r="F8" s="16" t="str">
        <f t="shared" si="1"/>
        <v>10</v>
      </c>
      <c r="G8" s="17" t="str">
        <f t="shared" si="2"/>
        <v>97.2%</v>
      </c>
      <c r="H8" s="13" t="str">
        <f t="shared" si="3"/>
        <v>97.2%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9">
        <v>5.0</v>
      </c>
      <c r="B9" s="9" t="s">
        <v>145</v>
      </c>
      <c r="C9" s="10">
        <v>60.0</v>
      </c>
      <c r="D9" s="10" t="s">
        <v>146</v>
      </c>
      <c r="E9" s="11" t="str">
        <f t="shared" si="4"/>
        <v>410</v>
      </c>
      <c r="F9" s="11" t="str">
        <f t="shared" si="1"/>
        <v>-50</v>
      </c>
      <c r="G9" s="12" t="str">
        <f t="shared" si="2"/>
        <v>113.9%</v>
      </c>
      <c r="H9" s="13" t="str">
        <f t="shared" si="3"/>
        <v>100.0% (Package Over)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3.0"/>
    <col customWidth="1" min="2" max="2" width="16.0"/>
    <col customWidth="1" min="3" max="3" width="25.0"/>
    <col customWidth="1" min="4" max="4" width="23.0"/>
    <col customWidth="1" min="5" max="5" width="20.0"/>
    <col customWidth="1" min="6" max="6" width="21.0"/>
    <col customWidth="1" min="7" max="7" width="22.0"/>
    <col customWidth="1" min="8" max="8" width="27.0"/>
  </cols>
  <sheetData>
    <row r="1">
      <c r="A1" s="1" t="s">
        <v>147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148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81</v>
      </c>
      <c r="B4" s="4" t="s">
        <v>82</v>
      </c>
      <c r="C4" s="4" t="s">
        <v>83</v>
      </c>
      <c r="D4" s="4" t="s">
        <v>84</v>
      </c>
      <c r="E4" s="4" t="s">
        <v>85</v>
      </c>
      <c r="F4" s="4" t="s">
        <v>86</v>
      </c>
      <c r="G4" s="4" t="s">
        <v>87</v>
      </c>
      <c r="H4" s="4" t="s">
        <v>9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9">
        <v>1.0</v>
      </c>
      <c r="B5" s="9" t="s">
        <v>16</v>
      </c>
      <c r="C5" s="10">
        <v>60.0</v>
      </c>
      <c r="D5" s="10" t="s">
        <v>93</v>
      </c>
      <c r="E5" s="11" t="str">
        <f>C5</f>
        <v>60</v>
      </c>
      <c r="F5" s="11" t="str">
        <f t="shared" ref="F5:F12" si="1">480-E5</f>
        <v>420</v>
      </c>
      <c r="G5" s="12" t="str">
        <f t="shared" ref="G5:G12" si="2">E5/480</f>
        <v>12.5%</v>
      </c>
      <c r="H5" s="13" t="str">
        <f t="shared" ref="H5:H12" si="3">IF(G5&gt;=1, "100.0% (Package Over)", TEXT(MIN(G5*100, 99.9), "0.0") &amp; "%")</f>
        <v>12.5%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4">
        <v>2.0</v>
      </c>
      <c r="B6" s="14" t="s">
        <v>149</v>
      </c>
      <c r="C6" s="15">
        <v>60.0</v>
      </c>
      <c r="D6" s="15" t="s">
        <v>93</v>
      </c>
      <c r="E6" s="16" t="str">
        <f t="shared" ref="E6:E12" si="4">E5+C6</f>
        <v>120</v>
      </c>
      <c r="F6" s="16" t="str">
        <f t="shared" si="1"/>
        <v>360</v>
      </c>
      <c r="G6" s="17" t="str">
        <f t="shared" si="2"/>
        <v>25.0%</v>
      </c>
      <c r="H6" s="13" t="str">
        <f t="shared" si="3"/>
        <v>25.0%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3.0</v>
      </c>
      <c r="B7" s="9" t="s">
        <v>150</v>
      </c>
      <c r="C7" s="10">
        <v>60.0</v>
      </c>
      <c r="D7" s="10" t="s">
        <v>93</v>
      </c>
      <c r="E7" s="11" t="str">
        <f t="shared" si="4"/>
        <v>180</v>
      </c>
      <c r="F7" s="11" t="str">
        <f t="shared" si="1"/>
        <v>300</v>
      </c>
      <c r="G7" s="12" t="str">
        <f t="shared" si="2"/>
        <v>37.5%</v>
      </c>
      <c r="H7" s="13" t="str">
        <f t="shared" si="3"/>
        <v>37.5%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4">
        <v>4.0</v>
      </c>
      <c r="B8" s="14" t="s">
        <v>151</v>
      </c>
      <c r="C8" s="15">
        <v>90.0</v>
      </c>
      <c r="D8" s="15" t="s">
        <v>91</v>
      </c>
      <c r="E8" s="16" t="str">
        <f t="shared" si="4"/>
        <v>270</v>
      </c>
      <c r="F8" s="16" t="str">
        <f t="shared" si="1"/>
        <v>210</v>
      </c>
      <c r="G8" s="17" t="str">
        <f t="shared" si="2"/>
        <v>56.3%</v>
      </c>
      <c r="H8" s="13" t="str">
        <f t="shared" si="3"/>
        <v>56.3%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9">
        <v>5.0</v>
      </c>
      <c r="B9" s="9" t="s">
        <v>151</v>
      </c>
      <c r="C9" s="10">
        <v>90.0</v>
      </c>
      <c r="D9" s="10" t="s">
        <v>152</v>
      </c>
      <c r="E9" s="11" t="str">
        <f t="shared" si="4"/>
        <v>360</v>
      </c>
      <c r="F9" s="11" t="str">
        <f t="shared" si="1"/>
        <v>120</v>
      </c>
      <c r="G9" s="12" t="str">
        <f t="shared" si="2"/>
        <v>75.0%</v>
      </c>
      <c r="H9" s="13" t="str">
        <f t="shared" si="3"/>
        <v>75.0%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4">
        <v>6.0</v>
      </c>
      <c r="B10" s="14" t="s">
        <v>153</v>
      </c>
      <c r="C10" s="15">
        <v>120.0</v>
      </c>
      <c r="D10" s="15" t="s">
        <v>91</v>
      </c>
      <c r="E10" s="16" t="str">
        <f t="shared" si="4"/>
        <v>480</v>
      </c>
      <c r="F10" s="16" t="str">
        <f t="shared" si="1"/>
        <v>0</v>
      </c>
      <c r="G10" s="17" t="str">
        <f t="shared" si="2"/>
        <v>100.0%</v>
      </c>
      <c r="H10" s="13" t="str">
        <f t="shared" si="3"/>
        <v>100.0% (Package Over)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9">
        <v>7.0</v>
      </c>
      <c r="B11" s="9" t="s">
        <v>153</v>
      </c>
      <c r="C11" s="10">
        <v>120.0</v>
      </c>
      <c r="D11" s="10" t="s">
        <v>93</v>
      </c>
      <c r="E11" s="11" t="str">
        <f t="shared" si="4"/>
        <v>600</v>
      </c>
      <c r="F11" s="11" t="str">
        <f t="shared" si="1"/>
        <v>-120</v>
      </c>
      <c r="G11" s="12" t="str">
        <f t="shared" si="2"/>
        <v>125.0%</v>
      </c>
      <c r="H11" s="13" t="str">
        <f t="shared" si="3"/>
        <v>100.0% (Package Over)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4">
        <v>8.0</v>
      </c>
      <c r="B12" s="14" t="s">
        <v>154</v>
      </c>
      <c r="C12" s="15">
        <v>120.0</v>
      </c>
      <c r="D12" s="15" t="s">
        <v>93</v>
      </c>
      <c r="E12" s="16" t="str">
        <f t="shared" si="4"/>
        <v>720</v>
      </c>
      <c r="F12" s="16" t="str">
        <f t="shared" si="1"/>
        <v>-240</v>
      </c>
      <c r="G12" s="17" t="str">
        <f t="shared" si="2"/>
        <v>150.0%</v>
      </c>
      <c r="H12" s="13" t="str">
        <f t="shared" si="3"/>
        <v>100.0% (Package Over)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7.0"/>
    <col customWidth="1" min="2" max="2" width="16.0"/>
    <col customWidth="1" min="3" max="3" width="25.0"/>
    <col customWidth="1" min="4" max="4" width="23.0"/>
    <col customWidth="1" min="5" max="5" width="20.0"/>
    <col customWidth="1" min="6" max="6" width="21.0"/>
    <col customWidth="1" min="7" max="7" width="22.0"/>
    <col customWidth="1" min="8" max="8" width="27.0"/>
  </cols>
  <sheetData>
    <row r="1">
      <c r="A1" s="1" t="s">
        <v>155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156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81</v>
      </c>
      <c r="B4" s="4" t="s">
        <v>82</v>
      </c>
      <c r="C4" s="4" t="s">
        <v>83</v>
      </c>
      <c r="D4" s="4" t="s">
        <v>84</v>
      </c>
      <c r="E4" s="4" t="s">
        <v>85</v>
      </c>
      <c r="F4" s="4" t="s">
        <v>86</v>
      </c>
      <c r="G4" s="4" t="s">
        <v>87</v>
      </c>
      <c r="H4" s="4" t="s">
        <v>9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9">
        <v>1.0</v>
      </c>
      <c r="B5" s="9" t="s">
        <v>19</v>
      </c>
      <c r="C5" s="10">
        <v>0.0</v>
      </c>
      <c r="D5" s="10" t="s">
        <v>157</v>
      </c>
      <c r="E5" s="11" t="str">
        <f>C5</f>
        <v>0</v>
      </c>
      <c r="F5" s="11" t="str">
        <f>300-E5</f>
        <v>300</v>
      </c>
      <c r="G5" s="12" t="str">
        <f>E5/300</f>
        <v>0.0%</v>
      </c>
      <c r="H5" s="13" t="str">
        <f>IF(G5&gt;=1, "100.0% (Package Over)", TEXT(MIN(G5*100, 99.9), "0.0") &amp; "%")</f>
        <v>0.0%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4.0"/>
    <col customWidth="1" min="2" max="2" width="16.0"/>
    <col customWidth="1" min="3" max="3" width="25.0"/>
    <col customWidth="1" min="4" max="4" width="23.0"/>
    <col customWidth="1" min="5" max="5" width="20.0"/>
    <col customWidth="1" min="6" max="6" width="21.0"/>
    <col customWidth="1" min="7" max="7" width="22.0"/>
    <col customWidth="1" min="8" max="8" width="27.0"/>
  </cols>
  <sheetData>
    <row r="1">
      <c r="A1" s="1" t="s">
        <v>158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159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81</v>
      </c>
      <c r="B4" s="4" t="s">
        <v>82</v>
      </c>
      <c r="C4" s="4" t="s">
        <v>83</v>
      </c>
      <c r="D4" s="4" t="s">
        <v>84</v>
      </c>
      <c r="E4" s="4" t="s">
        <v>85</v>
      </c>
      <c r="F4" s="4" t="s">
        <v>86</v>
      </c>
      <c r="G4" s="4" t="s">
        <v>87</v>
      </c>
      <c r="H4" s="4" t="s">
        <v>9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9">
        <v>1.0</v>
      </c>
      <c r="B5" s="9" t="s">
        <v>21</v>
      </c>
      <c r="C5" s="10">
        <v>60.0</v>
      </c>
      <c r="D5" s="10" t="s">
        <v>91</v>
      </c>
      <c r="E5" s="11" t="str">
        <f>C5</f>
        <v>60</v>
      </c>
      <c r="F5" s="11" t="str">
        <f t="shared" ref="F5:F23" si="1">1200-E5</f>
        <v>1,140</v>
      </c>
      <c r="G5" s="12" t="str">
        <f t="shared" ref="G5:G23" si="2">E5/1200</f>
        <v>5.0%</v>
      </c>
      <c r="H5" s="13" t="str">
        <f t="shared" ref="H5:H23" si="3">IF(G5&gt;=1, "100.0% (Package Over)", TEXT(MIN(G5*100, 99.9), "0.0") &amp; "%")</f>
        <v>5.0%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4">
        <v>2.0</v>
      </c>
      <c r="B6" s="14" t="s">
        <v>160</v>
      </c>
      <c r="C6" s="15">
        <v>60.0</v>
      </c>
      <c r="D6" s="15" t="s">
        <v>93</v>
      </c>
      <c r="E6" s="16" t="str">
        <f t="shared" ref="E6:E23" si="4">E5+C6</f>
        <v>120</v>
      </c>
      <c r="F6" s="16" t="str">
        <f t="shared" si="1"/>
        <v>1,080</v>
      </c>
      <c r="G6" s="17" t="str">
        <f t="shared" si="2"/>
        <v>10.0%</v>
      </c>
      <c r="H6" s="13" t="str">
        <f t="shared" si="3"/>
        <v>10.0%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3.0</v>
      </c>
      <c r="B7" s="9" t="s">
        <v>161</v>
      </c>
      <c r="C7" s="10">
        <v>60.0</v>
      </c>
      <c r="D7" s="10" t="s">
        <v>93</v>
      </c>
      <c r="E7" s="11" t="str">
        <f t="shared" si="4"/>
        <v>180</v>
      </c>
      <c r="F7" s="11" t="str">
        <f t="shared" si="1"/>
        <v>1,020</v>
      </c>
      <c r="G7" s="12" t="str">
        <f t="shared" si="2"/>
        <v>15.0%</v>
      </c>
      <c r="H7" s="13" t="str">
        <f t="shared" si="3"/>
        <v>15.0%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4">
        <v>4.0</v>
      </c>
      <c r="B8" s="14" t="s">
        <v>153</v>
      </c>
      <c r="C8" s="15">
        <v>60.0</v>
      </c>
      <c r="D8" s="15" t="s">
        <v>143</v>
      </c>
      <c r="E8" s="16" t="str">
        <f t="shared" si="4"/>
        <v>240</v>
      </c>
      <c r="F8" s="16" t="str">
        <f t="shared" si="1"/>
        <v>960</v>
      </c>
      <c r="G8" s="17" t="str">
        <f t="shared" si="2"/>
        <v>20.0%</v>
      </c>
      <c r="H8" s="13" t="str">
        <f t="shared" si="3"/>
        <v>20.0%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9">
        <v>5.0</v>
      </c>
      <c r="B9" s="9" t="s">
        <v>153</v>
      </c>
      <c r="C9" s="10">
        <v>90.0</v>
      </c>
      <c r="D9" s="10" t="s">
        <v>91</v>
      </c>
      <c r="E9" s="11" t="str">
        <f t="shared" si="4"/>
        <v>330</v>
      </c>
      <c r="F9" s="11" t="str">
        <f t="shared" si="1"/>
        <v>870</v>
      </c>
      <c r="G9" s="12" t="str">
        <f t="shared" si="2"/>
        <v>27.5%</v>
      </c>
      <c r="H9" s="13" t="str">
        <f t="shared" si="3"/>
        <v>27.5%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4">
        <v>6.0</v>
      </c>
      <c r="B10" s="14" t="s">
        <v>162</v>
      </c>
      <c r="C10" s="15">
        <v>60.0</v>
      </c>
      <c r="D10" s="15" t="s">
        <v>91</v>
      </c>
      <c r="E10" s="16" t="str">
        <f t="shared" si="4"/>
        <v>390</v>
      </c>
      <c r="F10" s="16" t="str">
        <f t="shared" si="1"/>
        <v>810</v>
      </c>
      <c r="G10" s="17" t="str">
        <f t="shared" si="2"/>
        <v>32.5%</v>
      </c>
      <c r="H10" s="13" t="str">
        <f t="shared" si="3"/>
        <v>32.5%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9">
        <v>7.0</v>
      </c>
      <c r="B11" s="9" t="s">
        <v>163</v>
      </c>
      <c r="C11" s="10">
        <v>60.0</v>
      </c>
      <c r="D11" s="10" t="s">
        <v>91</v>
      </c>
      <c r="E11" s="11" t="str">
        <f t="shared" si="4"/>
        <v>450</v>
      </c>
      <c r="F11" s="11" t="str">
        <f t="shared" si="1"/>
        <v>750</v>
      </c>
      <c r="G11" s="12" t="str">
        <f t="shared" si="2"/>
        <v>37.5%</v>
      </c>
      <c r="H11" s="13" t="str">
        <f t="shared" si="3"/>
        <v>37.5%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4">
        <v>8.0</v>
      </c>
      <c r="B12" s="14" t="s">
        <v>77</v>
      </c>
      <c r="C12" s="15">
        <v>90.0</v>
      </c>
      <c r="D12" s="15" t="s">
        <v>93</v>
      </c>
      <c r="E12" s="16" t="str">
        <f t="shared" si="4"/>
        <v>540</v>
      </c>
      <c r="F12" s="16" t="str">
        <f t="shared" si="1"/>
        <v>660</v>
      </c>
      <c r="G12" s="17" t="str">
        <f t="shared" si="2"/>
        <v>45.0%</v>
      </c>
      <c r="H12" s="13" t="str">
        <f t="shared" si="3"/>
        <v>45.0%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9">
        <v>9.0</v>
      </c>
      <c r="B13" s="9" t="s">
        <v>164</v>
      </c>
      <c r="C13" s="10">
        <v>60.0</v>
      </c>
      <c r="D13" s="10" t="s">
        <v>95</v>
      </c>
      <c r="E13" s="11" t="str">
        <f t="shared" si="4"/>
        <v>600</v>
      </c>
      <c r="F13" s="11" t="str">
        <f t="shared" si="1"/>
        <v>600</v>
      </c>
      <c r="G13" s="12" t="str">
        <f t="shared" si="2"/>
        <v>50.0%</v>
      </c>
      <c r="H13" s="13" t="str">
        <f t="shared" si="3"/>
        <v>50.0%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4">
        <v>10.0</v>
      </c>
      <c r="B14" s="14" t="s">
        <v>165</v>
      </c>
      <c r="C14" s="15">
        <v>60.0</v>
      </c>
      <c r="D14" s="15" t="s">
        <v>106</v>
      </c>
      <c r="E14" s="16" t="str">
        <f t="shared" si="4"/>
        <v>660</v>
      </c>
      <c r="F14" s="16" t="str">
        <f t="shared" si="1"/>
        <v>540</v>
      </c>
      <c r="G14" s="17" t="str">
        <f t="shared" si="2"/>
        <v>55.0%</v>
      </c>
      <c r="H14" s="13" t="str">
        <f t="shared" si="3"/>
        <v>55.0%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9">
        <v>11.0</v>
      </c>
      <c r="B15" s="9" t="s">
        <v>165</v>
      </c>
      <c r="C15" s="10">
        <v>60.0</v>
      </c>
      <c r="D15" s="10" t="s">
        <v>101</v>
      </c>
      <c r="E15" s="11" t="str">
        <f t="shared" si="4"/>
        <v>720</v>
      </c>
      <c r="F15" s="11" t="str">
        <f t="shared" si="1"/>
        <v>480</v>
      </c>
      <c r="G15" s="12" t="str">
        <f t="shared" si="2"/>
        <v>60.0%</v>
      </c>
      <c r="H15" s="13" t="str">
        <f t="shared" si="3"/>
        <v>60.0%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4">
        <v>12.0</v>
      </c>
      <c r="B16" s="14" t="s">
        <v>166</v>
      </c>
      <c r="C16" s="15">
        <v>60.0</v>
      </c>
      <c r="D16" s="15" t="s">
        <v>101</v>
      </c>
      <c r="E16" s="16" t="str">
        <f t="shared" si="4"/>
        <v>780</v>
      </c>
      <c r="F16" s="16" t="str">
        <f t="shared" si="1"/>
        <v>420</v>
      </c>
      <c r="G16" s="17" t="str">
        <f t="shared" si="2"/>
        <v>65.0%</v>
      </c>
      <c r="H16" s="13" t="str">
        <f t="shared" si="3"/>
        <v>65.0%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9">
        <v>13.0</v>
      </c>
      <c r="B17" s="9" t="s">
        <v>166</v>
      </c>
      <c r="C17" s="10">
        <v>60.0</v>
      </c>
      <c r="D17" s="10" t="s">
        <v>91</v>
      </c>
      <c r="E17" s="11" t="str">
        <f t="shared" si="4"/>
        <v>840</v>
      </c>
      <c r="F17" s="11" t="str">
        <f t="shared" si="1"/>
        <v>360</v>
      </c>
      <c r="G17" s="12" t="str">
        <f t="shared" si="2"/>
        <v>70.0%</v>
      </c>
      <c r="H17" s="13" t="str">
        <f t="shared" si="3"/>
        <v>70.0%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4">
        <v>14.0</v>
      </c>
      <c r="B18" s="14" t="s">
        <v>167</v>
      </c>
      <c r="C18" s="15">
        <v>60.0</v>
      </c>
      <c r="D18" s="15" t="s">
        <v>130</v>
      </c>
      <c r="E18" s="16" t="str">
        <f t="shared" si="4"/>
        <v>900</v>
      </c>
      <c r="F18" s="16" t="str">
        <f t="shared" si="1"/>
        <v>300</v>
      </c>
      <c r="G18" s="17" t="str">
        <f t="shared" si="2"/>
        <v>75.0%</v>
      </c>
      <c r="H18" s="13" t="str">
        <f t="shared" si="3"/>
        <v>75.0%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9">
        <v>15.0</v>
      </c>
      <c r="B19" s="9" t="s">
        <v>168</v>
      </c>
      <c r="C19" s="10">
        <v>60.0</v>
      </c>
      <c r="D19" s="10" t="s">
        <v>106</v>
      </c>
      <c r="E19" s="11" t="str">
        <f t="shared" si="4"/>
        <v>960</v>
      </c>
      <c r="F19" s="11" t="str">
        <f t="shared" si="1"/>
        <v>240</v>
      </c>
      <c r="G19" s="12" t="str">
        <f t="shared" si="2"/>
        <v>80.0%</v>
      </c>
      <c r="H19" s="13" t="str">
        <f t="shared" si="3"/>
        <v>80.0%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4">
        <v>16.0</v>
      </c>
      <c r="B20" s="14" t="s">
        <v>169</v>
      </c>
      <c r="C20" s="15">
        <v>60.0</v>
      </c>
      <c r="D20" s="15" t="s">
        <v>101</v>
      </c>
      <c r="E20" s="16" t="str">
        <f t="shared" si="4"/>
        <v>1,020</v>
      </c>
      <c r="F20" s="16" t="str">
        <f t="shared" si="1"/>
        <v>180</v>
      </c>
      <c r="G20" s="17" t="str">
        <f t="shared" si="2"/>
        <v>85.0%</v>
      </c>
      <c r="H20" s="13" t="str">
        <f t="shared" si="3"/>
        <v>85.0%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9">
        <v>17.0</v>
      </c>
      <c r="B21" s="9" t="s">
        <v>168</v>
      </c>
      <c r="C21" s="10">
        <v>60.0</v>
      </c>
      <c r="D21" s="10" t="s">
        <v>106</v>
      </c>
      <c r="E21" s="11" t="str">
        <f t="shared" si="4"/>
        <v>1,080</v>
      </c>
      <c r="F21" s="11" t="str">
        <f t="shared" si="1"/>
        <v>120</v>
      </c>
      <c r="G21" s="12" t="str">
        <f t="shared" si="2"/>
        <v>90.0%</v>
      </c>
      <c r="H21" s="13" t="str">
        <f t="shared" si="3"/>
        <v>90.0%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14">
        <v>18.0</v>
      </c>
      <c r="B22" s="14" t="s">
        <v>170</v>
      </c>
      <c r="C22" s="15">
        <v>60.0</v>
      </c>
      <c r="D22" s="15" t="s">
        <v>91</v>
      </c>
      <c r="E22" s="16" t="str">
        <f t="shared" si="4"/>
        <v>1,140</v>
      </c>
      <c r="F22" s="16" t="str">
        <f t="shared" si="1"/>
        <v>60</v>
      </c>
      <c r="G22" s="17" t="str">
        <f t="shared" si="2"/>
        <v>95.0%</v>
      </c>
      <c r="H22" s="13" t="str">
        <f t="shared" si="3"/>
        <v>95.0%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9">
        <v>19.0</v>
      </c>
      <c r="B23" s="9" t="s">
        <v>170</v>
      </c>
      <c r="C23" s="10">
        <v>60.0</v>
      </c>
      <c r="D23" s="10" t="s">
        <v>130</v>
      </c>
      <c r="E23" s="11" t="str">
        <f t="shared" si="4"/>
        <v>1,200</v>
      </c>
      <c r="F23" s="11" t="str">
        <f t="shared" si="1"/>
        <v>0</v>
      </c>
      <c r="G23" s="12" t="str">
        <f t="shared" si="2"/>
        <v>100.0%</v>
      </c>
      <c r="H23" s="13" t="str">
        <f t="shared" si="3"/>
        <v>100.0% (Package Over)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4.0"/>
    <col customWidth="1" min="3" max="3" width="22.0"/>
    <col customWidth="1" min="4" max="4" width="30.0"/>
    <col customWidth="1" min="5" max="5" width="18.0"/>
    <col customWidth="1" min="6" max="6" width="13.0"/>
    <col customWidth="1" min="7" max="7" width="20.0"/>
    <col customWidth="1" min="8" max="8" width="24.0"/>
  </cols>
  <sheetData>
    <row r="1">
      <c r="A1" s="18" t="s">
        <v>171</v>
      </c>
      <c r="B1" s="2"/>
      <c r="C1" s="2"/>
      <c r="D1" s="2"/>
      <c r="E1" s="2"/>
      <c r="F1" s="2"/>
      <c r="G1" s="2"/>
      <c r="H1" s="2"/>
    </row>
    <row r="2">
      <c r="A2" s="19" t="s">
        <v>172</v>
      </c>
      <c r="B2" s="2"/>
      <c r="C2" s="2"/>
      <c r="D2" s="2"/>
      <c r="E2" s="2"/>
      <c r="F2" s="2"/>
      <c r="G2" s="2"/>
      <c r="H2" s="2"/>
    </row>
    <row r="3">
      <c r="A3" s="2"/>
      <c r="B3" s="2"/>
      <c r="C3" s="2"/>
      <c r="D3" s="2"/>
      <c r="E3" s="2"/>
      <c r="F3" s="2"/>
      <c r="G3" s="2"/>
      <c r="H3" s="2"/>
    </row>
    <row r="4">
      <c r="A4" s="20" t="s">
        <v>81</v>
      </c>
      <c r="B4" s="20" t="s">
        <v>82</v>
      </c>
      <c r="C4" s="20" t="s">
        <v>83</v>
      </c>
      <c r="D4" s="20" t="s">
        <v>84</v>
      </c>
      <c r="E4" s="20" t="s">
        <v>85</v>
      </c>
      <c r="F4" s="20" t="s">
        <v>86</v>
      </c>
      <c r="G4" s="20" t="s">
        <v>87</v>
      </c>
      <c r="H4" s="20" t="s">
        <v>9</v>
      </c>
    </row>
    <row r="5">
      <c r="A5" s="5">
        <v>1.0</v>
      </c>
      <c r="B5" s="5" t="s">
        <v>173</v>
      </c>
      <c r="C5" s="5">
        <v>60.0</v>
      </c>
      <c r="D5" s="6" t="s">
        <v>174</v>
      </c>
      <c r="E5" s="5" t="str">
        <f>C5</f>
        <v>60</v>
      </c>
      <c r="F5" s="5" t="str">
        <f t="shared" ref="F5:F17" si="1">1800-E5</f>
        <v>1740</v>
      </c>
      <c r="G5" s="8" t="str">
        <f t="shared" ref="G5:G17" si="2">E5/1800</f>
        <v>3.3%</v>
      </c>
      <c r="H5" s="5" t="str">
        <f t="shared" ref="H5:H17" si="3">IF(G5&gt;=1, "100.0% (Package Over)", TEXT(MIN(G5*100, 99.9), "0.0") &amp; "%")</f>
        <v>3.3%</v>
      </c>
    </row>
    <row r="6">
      <c r="A6" s="5">
        <v>2.0</v>
      </c>
      <c r="B6" s="5" t="s">
        <v>173</v>
      </c>
      <c r="C6" s="5">
        <v>90.0</v>
      </c>
      <c r="D6" s="6" t="s">
        <v>175</v>
      </c>
      <c r="E6" s="5" t="str">
        <f t="shared" ref="E6:E17" si="4">E5+C6</f>
        <v>150</v>
      </c>
      <c r="F6" s="5" t="str">
        <f t="shared" si="1"/>
        <v>1650</v>
      </c>
      <c r="G6" s="8" t="str">
        <f t="shared" si="2"/>
        <v>8.3%</v>
      </c>
      <c r="H6" s="5" t="str">
        <f t="shared" si="3"/>
        <v>8.3%</v>
      </c>
    </row>
    <row r="7">
      <c r="A7" s="5">
        <v>3.0</v>
      </c>
      <c r="B7" s="5" t="s">
        <v>176</v>
      </c>
      <c r="C7" s="5">
        <v>120.0</v>
      </c>
      <c r="D7" s="6" t="s">
        <v>177</v>
      </c>
      <c r="E7" s="5" t="str">
        <f t="shared" si="4"/>
        <v>270</v>
      </c>
      <c r="F7" s="5" t="str">
        <f t="shared" si="1"/>
        <v>1530</v>
      </c>
      <c r="G7" s="8" t="str">
        <f t="shared" si="2"/>
        <v>15.0%</v>
      </c>
      <c r="H7" s="5" t="str">
        <f t="shared" si="3"/>
        <v>15.0%</v>
      </c>
    </row>
    <row r="8">
      <c r="A8" s="5">
        <v>4.0</v>
      </c>
      <c r="B8" s="5" t="s">
        <v>178</v>
      </c>
      <c r="C8" s="5">
        <v>120.0</v>
      </c>
      <c r="D8" s="6" t="s">
        <v>179</v>
      </c>
      <c r="E8" s="5" t="str">
        <f t="shared" si="4"/>
        <v>390</v>
      </c>
      <c r="F8" s="5" t="str">
        <f t="shared" si="1"/>
        <v>1410</v>
      </c>
      <c r="G8" s="8" t="str">
        <f t="shared" si="2"/>
        <v>21.7%</v>
      </c>
      <c r="H8" s="5" t="str">
        <f t="shared" si="3"/>
        <v>21.7%</v>
      </c>
    </row>
    <row r="9">
      <c r="A9" s="5">
        <v>5.0</v>
      </c>
      <c r="B9" s="5" t="s">
        <v>180</v>
      </c>
      <c r="C9" s="5">
        <v>120.0</v>
      </c>
      <c r="D9" s="6" t="s">
        <v>179</v>
      </c>
      <c r="E9" s="5" t="str">
        <f t="shared" si="4"/>
        <v>510</v>
      </c>
      <c r="F9" s="5" t="str">
        <f t="shared" si="1"/>
        <v>1290</v>
      </c>
      <c r="G9" s="8" t="str">
        <f t="shared" si="2"/>
        <v>28.3%</v>
      </c>
      <c r="H9" s="5" t="str">
        <f t="shared" si="3"/>
        <v>28.3%</v>
      </c>
    </row>
    <row r="10">
      <c r="A10" s="5">
        <v>6.0</v>
      </c>
      <c r="B10" s="5" t="s">
        <v>181</v>
      </c>
      <c r="C10" s="5">
        <v>90.0</v>
      </c>
      <c r="D10" s="6" t="s">
        <v>182</v>
      </c>
      <c r="E10" s="5" t="str">
        <f t="shared" si="4"/>
        <v>600</v>
      </c>
      <c r="F10" s="5" t="str">
        <f t="shared" si="1"/>
        <v>1200</v>
      </c>
      <c r="G10" s="8" t="str">
        <f t="shared" si="2"/>
        <v>33.3%</v>
      </c>
      <c r="H10" s="5" t="str">
        <f t="shared" si="3"/>
        <v>33.3%</v>
      </c>
    </row>
    <row r="11">
      <c r="A11" s="5">
        <v>7.0</v>
      </c>
      <c r="B11" s="5" t="s">
        <v>131</v>
      </c>
      <c r="C11" s="5">
        <v>90.0</v>
      </c>
      <c r="D11" s="6" t="s">
        <v>183</v>
      </c>
      <c r="E11" s="5" t="str">
        <f t="shared" si="4"/>
        <v>690</v>
      </c>
      <c r="F11" s="5" t="str">
        <f t="shared" si="1"/>
        <v>1110</v>
      </c>
      <c r="G11" s="8" t="str">
        <f t="shared" si="2"/>
        <v>38.3%</v>
      </c>
      <c r="H11" s="5" t="str">
        <f t="shared" si="3"/>
        <v>38.3%</v>
      </c>
    </row>
    <row r="12">
      <c r="A12" s="5">
        <v>8.0</v>
      </c>
      <c r="B12" s="5" t="s">
        <v>184</v>
      </c>
      <c r="C12" s="5">
        <v>90.0</v>
      </c>
      <c r="D12" s="6" t="s">
        <v>183</v>
      </c>
      <c r="E12" s="5" t="str">
        <f t="shared" si="4"/>
        <v>780</v>
      </c>
      <c r="F12" s="5" t="str">
        <f t="shared" si="1"/>
        <v>1020</v>
      </c>
      <c r="G12" s="8" t="str">
        <f t="shared" si="2"/>
        <v>43.3%</v>
      </c>
      <c r="H12" s="5" t="str">
        <f t="shared" si="3"/>
        <v>43.3%</v>
      </c>
    </row>
    <row r="13">
      <c r="A13" s="5">
        <v>9.0</v>
      </c>
      <c r="B13" s="5" t="s">
        <v>185</v>
      </c>
      <c r="C13" s="5">
        <v>120.0</v>
      </c>
      <c r="D13" s="6" t="s">
        <v>183</v>
      </c>
      <c r="E13" s="5" t="str">
        <f t="shared" si="4"/>
        <v>900</v>
      </c>
      <c r="F13" s="5" t="str">
        <f t="shared" si="1"/>
        <v>900</v>
      </c>
      <c r="G13" s="8" t="str">
        <f t="shared" si="2"/>
        <v>50.0%</v>
      </c>
      <c r="H13" s="5" t="str">
        <f t="shared" si="3"/>
        <v>50.0%</v>
      </c>
    </row>
    <row r="14">
      <c r="A14" s="5">
        <v>10.0</v>
      </c>
      <c r="B14" s="5" t="s">
        <v>186</v>
      </c>
      <c r="C14" s="5">
        <v>90.0</v>
      </c>
      <c r="D14" s="6" t="s">
        <v>187</v>
      </c>
      <c r="E14" s="5" t="str">
        <f t="shared" si="4"/>
        <v>990</v>
      </c>
      <c r="F14" s="5" t="str">
        <f t="shared" si="1"/>
        <v>810</v>
      </c>
      <c r="G14" s="8" t="str">
        <f t="shared" si="2"/>
        <v>55.0%</v>
      </c>
      <c r="H14" s="5" t="str">
        <f t="shared" si="3"/>
        <v>55.0%</v>
      </c>
    </row>
    <row r="15">
      <c r="A15" s="5">
        <v>11.0</v>
      </c>
      <c r="B15" s="5" t="s">
        <v>188</v>
      </c>
      <c r="C15" s="5">
        <v>90.0</v>
      </c>
      <c r="D15" s="6" t="s">
        <v>187</v>
      </c>
      <c r="E15" s="5" t="str">
        <f t="shared" si="4"/>
        <v>1080</v>
      </c>
      <c r="F15" s="5" t="str">
        <f t="shared" si="1"/>
        <v>720</v>
      </c>
      <c r="G15" s="8" t="str">
        <f t="shared" si="2"/>
        <v>60.0%</v>
      </c>
      <c r="H15" s="5" t="str">
        <f t="shared" si="3"/>
        <v>60.0%</v>
      </c>
    </row>
    <row r="16">
      <c r="A16" s="5">
        <v>12.0</v>
      </c>
      <c r="B16" s="5" t="s">
        <v>188</v>
      </c>
      <c r="C16" s="5">
        <v>120.0</v>
      </c>
      <c r="D16" s="6" t="s">
        <v>189</v>
      </c>
      <c r="E16" s="5" t="str">
        <f t="shared" si="4"/>
        <v>1200</v>
      </c>
      <c r="F16" s="5" t="str">
        <f t="shared" si="1"/>
        <v>600</v>
      </c>
      <c r="G16" s="8" t="str">
        <f t="shared" si="2"/>
        <v>66.7%</v>
      </c>
      <c r="H16" s="5" t="str">
        <f t="shared" si="3"/>
        <v>66.7%</v>
      </c>
    </row>
    <row r="17">
      <c r="A17" s="5">
        <v>13.0</v>
      </c>
      <c r="B17" s="5" t="s">
        <v>190</v>
      </c>
      <c r="C17" s="5">
        <v>90.0</v>
      </c>
      <c r="D17" s="6" t="s">
        <v>191</v>
      </c>
      <c r="E17" s="5" t="str">
        <f t="shared" si="4"/>
        <v>1290</v>
      </c>
      <c r="F17" s="5" t="str">
        <f t="shared" si="1"/>
        <v>510</v>
      </c>
      <c r="G17" s="8" t="str">
        <f t="shared" si="2"/>
        <v>71.7%</v>
      </c>
      <c r="H17" s="5" t="str">
        <f t="shared" si="3"/>
        <v>71.7%</v>
      </c>
    </row>
    <row r="18">
      <c r="A18" s="2"/>
      <c r="B18" s="2"/>
      <c r="C18" s="2"/>
      <c r="D18" s="2"/>
      <c r="E18" s="2"/>
      <c r="F18" s="2"/>
      <c r="G18" s="2"/>
      <c r="H18" s="2"/>
    </row>
    <row r="19">
      <c r="A19" s="2"/>
      <c r="B19" s="2"/>
      <c r="C19" s="2"/>
      <c r="D19" s="2"/>
      <c r="E19" s="2"/>
      <c r="F19" s="2"/>
      <c r="G19" s="2"/>
      <c r="H19" s="2"/>
    </row>
    <row r="20">
      <c r="A20" s="2"/>
      <c r="B20" s="2"/>
      <c r="C20" s="2"/>
      <c r="D20" s="2"/>
      <c r="E20" s="2"/>
      <c r="F20" s="2"/>
      <c r="G20" s="2"/>
      <c r="H20" s="2"/>
    </row>
    <row r="21" ht="15.75" customHeight="1">
      <c r="A21" s="2"/>
      <c r="B21" s="2"/>
      <c r="C21" s="2"/>
      <c r="D21" s="2"/>
      <c r="E21" s="2"/>
      <c r="F21" s="2"/>
      <c r="G21" s="2"/>
      <c r="H21" s="2"/>
    </row>
    <row r="22" ht="15.75" customHeight="1">
      <c r="A22" s="2"/>
      <c r="B22" s="2"/>
      <c r="C22" s="2"/>
      <c r="D22" s="2"/>
      <c r="E22" s="2"/>
      <c r="F22" s="2"/>
      <c r="G22" s="2"/>
      <c r="H22" s="2"/>
    </row>
    <row r="23" ht="15.75" customHeight="1">
      <c r="A23" s="2"/>
      <c r="B23" s="2"/>
      <c r="C23" s="2"/>
      <c r="D23" s="2"/>
      <c r="E23" s="2"/>
      <c r="F23" s="2"/>
      <c r="G23" s="2"/>
      <c r="H23" s="2"/>
    </row>
    <row r="24" ht="15.75" customHeight="1">
      <c r="A24" s="2"/>
      <c r="B24" s="2"/>
      <c r="C24" s="2"/>
      <c r="D24" s="2"/>
      <c r="E24" s="2"/>
      <c r="F24" s="2"/>
      <c r="G24" s="2"/>
      <c r="H24" s="2"/>
    </row>
    <row r="25" ht="15.75" customHeight="1">
      <c r="A25" s="2"/>
      <c r="B25" s="2"/>
      <c r="C25" s="2"/>
      <c r="D25" s="2"/>
      <c r="E25" s="2"/>
      <c r="F25" s="2"/>
      <c r="G25" s="2"/>
      <c r="H25" s="2"/>
    </row>
    <row r="26" ht="15.75" customHeight="1">
      <c r="A26" s="2"/>
      <c r="B26" s="2"/>
      <c r="C26" s="2"/>
      <c r="D26" s="2"/>
      <c r="E26" s="2"/>
      <c r="F26" s="2"/>
      <c r="G26" s="2"/>
      <c r="H26" s="2"/>
    </row>
    <row r="27" ht="15.75" customHeight="1">
      <c r="A27" s="2"/>
      <c r="B27" s="2"/>
      <c r="C27" s="2"/>
      <c r="D27" s="2"/>
      <c r="E27" s="2"/>
      <c r="F27" s="2"/>
      <c r="G27" s="2"/>
      <c r="H27" s="2"/>
    </row>
    <row r="28" ht="15.75" customHeight="1">
      <c r="A28" s="2"/>
      <c r="B28" s="2"/>
      <c r="C28" s="2"/>
      <c r="D28" s="2"/>
      <c r="E28" s="2"/>
      <c r="F28" s="2"/>
      <c r="G28" s="2"/>
      <c r="H28" s="2"/>
    </row>
    <row r="29" ht="15.75" customHeight="1">
      <c r="A29" s="2"/>
      <c r="B29" s="2"/>
      <c r="C29" s="2"/>
      <c r="D29" s="2"/>
      <c r="E29" s="2"/>
      <c r="F29" s="2"/>
      <c r="G29" s="2"/>
      <c r="H29" s="2"/>
    </row>
    <row r="30" ht="15.75" customHeight="1">
      <c r="A30" s="2"/>
      <c r="B30" s="2"/>
      <c r="C30" s="2"/>
      <c r="D30" s="2"/>
      <c r="E30" s="2"/>
      <c r="F30" s="2"/>
      <c r="G30" s="2"/>
      <c r="H30" s="2"/>
    </row>
    <row r="31" ht="15.75" customHeight="1">
      <c r="A31" s="2"/>
      <c r="B31" s="2"/>
      <c r="C31" s="2"/>
      <c r="D31" s="2"/>
      <c r="E31" s="2"/>
      <c r="F31" s="2"/>
      <c r="G31" s="2"/>
      <c r="H31" s="2"/>
    </row>
    <row r="32" ht="15.75" customHeight="1">
      <c r="A32" s="2"/>
      <c r="B32" s="2"/>
      <c r="C32" s="2"/>
      <c r="D32" s="2"/>
      <c r="E32" s="2"/>
      <c r="F32" s="2"/>
      <c r="G32" s="2"/>
      <c r="H32" s="2"/>
    </row>
    <row r="33" ht="15.75" customHeight="1">
      <c r="A33" s="2"/>
      <c r="B33" s="2"/>
      <c r="C33" s="2"/>
      <c r="D33" s="2"/>
      <c r="E33" s="2"/>
      <c r="F33" s="2"/>
      <c r="G33" s="2"/>
      <c r="H33" s="2"/>
    </row>
    <row r="34" ht="15.75" customHeight="1">
      <c r="A34" s="2"/>
      <c r="B34" s="2"/>
      <c r="C34" s="2"/>
      <c r="D34" s="2"/>
      <c r="E34" s="2"/>
      <c r="F34" s="2"/>
      <c r="G34" s="2"/>
      <c r="H34" s="2"/>
    </row>
    <row r="35" ht="15.75" customHeight="1">
      <c r="A35" s="2"/>
      <c r="B35" s="2"/>
      <c r="C35" s="2"/>
      <c r="D35" s="2"/>
      <c r="E35" s="2"/>
      <c r="F35" s="2"/>
      <c r="G35" s="2"/>
      <c r="H35" s="2"/>
    </row>
    <row r="36" ht="15.75" customHeight="1">
      <c r="A36" s="2"/>
      <c r="B36" s="2"/>
      <c r="C36" s="2"/>
      <c r="D36" s="2"/>
      <c r="E36" s="2"/>
      <c r="F36" s="2"/>
      <c r="G36" s="2"/>
      <c r="H36" s="2"/>
    </row>
    <row r="37" ht="15.75" customHeight="1">
      <c r="A37" s="2"/>
      <c r="B37" s="2"/>
      <c r="C37" s="2"/>
      <c r="D37" s="2"/>
      <c r="E37" s="2"/>
      <c r="F37" s="2"/>
      <c r="G37" s="2"/>
      <c r="H37" s="2"/>
    </row>
    <row r="38" ht="15.75" customHeight="1">
      <c r="A38" s="2"/>
      <c r="B38" s="2"/>
      <c r="C38" s="2"/>
      <c r="D38" s="2"/>
      <c r="E38" s="2"/>
      <c r="F38" s="2"/>
      <c r="G38" s="2"/>
      <c r="H38" s="2"/>
    </row>
    <row r="39" ht="15.75" customHeight="1">
      <c r="A39" s="2"/>
      <c r="B39" s="2"/>
      <c r="C39" s="2"/>
      <c r="D39" s="2"/>
      <c r="E39" s="2"/>
      <c r="F39" s="2"/>
      <c r="G39" s="2"/>
      <c r="H39" s="2"/>
    </row>
    <row r="40" ht="15.75" customHeight="1">
      <c r="A40" s="2"/>
      <c r="B40" s="2"/>
      <c r="C40" s="2"/>
      <c r="D40" s="2"/>
      <c r="E40" s="2"/>
      <c r="F40" s="2"/>
      <c r="G40" s="2"/>
      <c r="H40" s="2"/>
    </row>
    <row r="41" ht="15.75" customHeight="1">
      <c r="A41" s="2"/>
      <c r="B41" s="2"/>
      <c r="C41" s="2"/>
      <c r="D41" s="2"/>
      <c r="E41" s="2"/>
      <c r="F41" s="2"/>
      <c r="G41" s="2"/>
      <c r="H41" s="2"/>
    </row>
    <row r="42" ht="15.75" customHeight="1">
      <c r="A42" s="2"/>
      <c r="B42" s="2"/>
      <c r="C42" s="2"/>
      <c r="D42" s="2"/>
      <c r="E42" s="2"/>
      <c r="F42" s="2"/>
      <c r="G42" s="2"/>
      <c r="H42" s="2"/>
    </row>
    <row r="43" ht="15.75" customHeight="1">
      <c r="A43" s="2"/>
      <c r="B43" s="2"/>
      <c r="C43" s="2"/>
      <c r="D43" s="2"/>
      <c r="E43" s="2"/>
      <c r="F43" s="2"/>
      <c r="G43" s="2"/>
      <c r="H43" s="2"/>
    </row>
    <row r="44" ht="15.75" customHeight="1">
      <c r="A44" s="2"/>
      <c r="B44" s="2"/>
      <c r="C44" s="2"/>
      <c r="D44" s="2"/>
      <c r="E44" s="2"/>
      <c r="F44" s="2"/>
      <c r="G44" s="2"/>
      <c r="H44" s="2"/>
    </row>
    <row r="45" ht="15.75" customHeight="1">
      <c r="A45" s="2"/>
      <c r="B45" s="2"/>
      <c r="C45" s="2"/>
      <c r="D45" s="2"/>
      <c r="E45" s="2"/>
      <c r="F45" s="2"/>
      <c r="G45" s="2"/>
      <c r="H45" s="2"/>
    </row>
    <row r="46" ht="15.75" customHeight="1">
      <c r="A46" s="2"/>
      <c r="B46" s="2"/>
      <c r="C46" s="2"/>
      <c r="D46" s="2"/>
      <c r="E46" s="2"/>
      <c r="F46" s="2"/>
      <c r="G46" s="2"/>
      <c r="H46" s="2"/>
    </row>
    <row r="47" ht="15.75" customHeight="1">
      <c r="A47" s="2"/>
      <c r="B47" s="2"/>
      <c r="C47" s="2"/>
      <c r="D47" s="2"/>
      <c r="E47" s="2"/>
      <c r="F47" s="2"/>
      <c r="G47" s="2"/>
      <c r="H47" s="2"/>
    </row>
    <row r="48" ht="15.75" customHeight="1">
      <c r="A48" s="2"/>
      <c r="B48" s="2"/>
      <c r="C48" s="2"/>
      <c r="D48" s="2"/>
      <c r="E48" s="2"/>
      <c r="F48" s="2"/>
      <c r="G48" s="2"/>
      <c r="H48" s="2"/>
    </row>
    <row r="49" ht="15.75" customHeight="1">
      <c r="A49" s="2"/>
      <c r="B49" s="2"/>
      <c r="C49" s="2"/>
      <c r="D49" s="2"/>
      <c r="E49" s="2"/>
      <c r="F49" s="2"/>
      <c r="G49" s="2"/>
      <c r="H49" s="2"/>
    </row>
    <row r="50" ht="15.75" customHeight="1">
      <c r="A50" s="2"/>
      <c r="B50" s="2"/>
      <c r="C50" s="2"/>
      <c r="D50" s="2"/>
      <c r="E50" s="2"/>
      <c r="F50" s="2"/>
      <c r="G50" s="2"/>
      <c r="H50" s="2"/>
    </row>
    <row r="51" ht="15.75" customHeight="1">
      <c r="A51" s="2"/>
      <c r="B51" s="2"/>
      <c r="C51" s="2"/>
      <c r="D51" s="2"/>
      <c r="E51" s="2"/>
      <c r="F51" s="2"/>
      <c r="G51" s="2"/>
      <c r="H51" s="2"/>
    </row>
    <row r="52" ht="15.75" customHeight="1">
      <c r="A52" s="2"/>
      <c r="B52" s="2"/>
      <c r="C52" s="2"/>
      <c r="D52" s="2"/>
      <c r="E52" s="2"/>
      <c r="F52" s="2"/>
      <c r="G52" s="2"/>
      <c r="H52" s="2"/>
    </row>
    <row r="53" ht="15.75" customHeight="1">
      <c r="A53" s="2"/>
      <c r="B53" s="2"/>
      <c r="C53" s="2"/>
      <c r="D53" s="2"/>
      <c r="E53" s="2"/>
      <c r="F53" s="2"/>
      <c r="G53" s="2"/>
      <c r="H53" s="2"/>
    </row>
    <row r="54" ht="15.75" customHeight="1">
      <c r="A54" s="2"/>
      <c r="B54" s="2"/>
      <c r="C54" s="2"/>
      <c r="D54" s="2"/>
      <c r="E54" s="2"/>
      <c r="F54" s="2"/>
      <c r="G54" s="2"/>
      <c r="H54" s="2"/>
    </row>
    <row r="55" ht="15.75" customHeight="1">
      <c r="A55" s="2"/>
      <c r="B55" s="2"/>
      <c r="C55" s="2"/>
      <c r="D55" s="2"/>
      <c r="E55" s="2"/>
      <c r="F55" s="2"/>
      <c r="G55" s="2"/>
      <c r="H55" s="2"/>
    </row>
    <row r="56" ht="15.75" customHeight="1">
      <c r="A56" s="2"/>
      <c r="B56" s="2"/>
      <c r="C56" s="2"/>
      <c r="D56" s="2"/>
      <c r="E56" s="2"/>
      <c r="F56" s="2"/>
      <c r="G56" s="2"/>
      <c r="H56" s="2"/>
    </row>
    <row r="57" ht="15.75" customHeight="1">
      <c r="A57" s="2"/>
      <c r="B57" s="2"/>
      <c r="C57" s="2"/>
      <c r="D57" s="2"/>
      <c r="E57" s="2"/>
      <c r="F57" s="2"/>
      <c r="G57" s="2"/>
      <c r="H57" s="2"/>
    </row>
    <row r="58" ht="15.75" customHeight="1">
      <c r="A58" s="2"/>
      <c r="B58" s="2"/>
      <c r="C58" s="2"/>
      <c r="D58" s="2"/>
      <c r="E58" s="2"/>
      <c r="F58" s="2"/>
      <c r="G58" s="2"/>
      <c r="H58" s="2"/>
    </row>
    <row r="59" ht="15.75" customHeight="1">
      <c r="A59" s="2"/>
      <c r="B59" s="2"/>
      <c r="C59" s="2"/>
      <c r="D59" s="2"/>
      <c r="E59" s="2"/>
      <c r="F59" s="2"/>
      <c r="G59" s="2"/>
      <c r="H59" s="2"/>
    </row>
    <row r="60" ht="15.75" customHeight="1">
      <c r="A60" s="2"/>
      <c r="B60" s="2"/>
      <c r="C60" s="2"/>
      <c r="D60" s="2"/>
      <c r="E60" s="2"/>
      <c r="F60" s="2"/>
      <c r="G60" s="2"/>
      <c r="H60" s="2"/>
    </row>
    <row r="61" ht="15.75" customHeight="1">
      <c r="A61" s="2"/>
      <c r="B61" s="2"/>
      <c r="C61" s="2"/>
      <c r="D61" s="2"/>
      <c r="E61" s="2"/>
      <c r="F61" s="2"/>
      <c r="G61" s="2"/>
      <c r="H61" s="2"/>
    </row>
    <row r="62" ht="15.75" customHeight="1">
      <c r="A62" s="2"/>
      <c r="B62" s="2"/>
      <c r="C62" s="2"/>
      <c r="D62" s="2"/>
      <c r="E62" s="2"/>
      <c r="F62" s="2"/>
      <c r="G62" s="2"/>
      <c r="H62" s="2"/>
    </row>
    <row r="63" ht="15.75" customHeight="1">
      <c r="A63" s="2"/>
      <c r="B63" s="2"/>
      <c r="C63" s="2"/>
      <c r="D63" s="2"/>
      <c r="E63" s="2"/>
      <c r="F63" s="2"/>
      <c r="G63" s="2"/>
      <c r="H63" s="2"/>
    </row>
    <row r="64" ht="15.75" customHeight="1">
      <c r="A64" s="2"/>
      <c r="B64" s="2"/>
      <c r="C64" s="2"/>
      <c r="D64" s="2"/>
      <c r="E64" s="2"/>
      <c r="F64" s="2"/>
      <c r="G64" s="2"/>
      <c r="H64" s="2"/>
    </row>
    <row r="65" ht="15.75" customHeight="1">
      <c r="A65" s="2"/>
      <c r="B65" s="2"/>
      <c r="C65" s="2"/>
      <c r="D65" s="2"/>
      <c r="E65" s="2"/>
      <c r="F65" s="2"/>
      <c r="G65" s="2"/>
      <c r="H65" s="2"/>
    </row>
    <row r="66" ht="15.75" customHeight="1">
      <c r="A66" s="2"/>
      <c r="B66" s="2"/>
      <c r="C66" s="2"/>
      <c r="D66" s="2"/>
      <c r="E66" s="2"/>
      <c r="F66" s="2"/>
      <c r="G66" s="2"/>
      <c r="H66" s="2"/>
    </row>
    <row r="67" ht="15.75" customHeight="1">
      <c r="A67" s="2"/>
      <c r="B67" s="2"/>
      <c r="C67" s="2"/>
      <c r="D67" s="2"/>
      <c r="E67" s="2"/>
      <c r="F67" s="2"/>
      <c r="G67" s="2"/>
      <c r="H67" s="2"/>
    </row>
    <row r="68" ht="15.75" customHeight="1">
      <c r="A68" s="2"/>
      <c r="B68" s="2"/>
      <c r="C68" s="2"/>
      <c r="D68" s="2"/>
      <c r="E68" s="2"/>
      <c r="F68" s="2"/>
      <c r="G68" s="2"/>
      <c r="H68" s="2"/>
    </row>
    <row r="69" ht="15.75" customHeight="1">
      <c r="A69" s="2"/>
      <c r="B69" s="2"/>
      <c r="C69" s="2"/>
      <c r="D69" s="2"/>
      <c r="E69" s="2"/>
      <c r="F69" s="2"/>
      <c r="G69" s="2"/>
      <c r="H69" s="2"/>
    </row>
    <row r="70" ht="15.75" customHeight="1">
      <c r="A70" s="2"/>
      <c r="B70" s="2"/>
      <c r="C70" s="2"/>
      <c r="D70" s="2"/>
      <c r="E70" s="2"/>
      <c r="F70" s="2"/>
      <c r="G70" s="2"/>
      <c r="H70" s="2"/>
    </row>
    <row r="71" ht="15.75" customHeight="1">
      <c r="A71" s="2"/>
      <c r="B71" s="2"/>
      <c r="C71" s="2"/>
      <c r="D71" s="2"/>
      <c r="E71" s="2"/>
      <c r="F71" s="2"/>
      <c r="G71" s="2"/>
      <c r="H71" s="2"/>
    </row>
    <row r="72" ht="15.75" customHeight="1">
      <c r="A72" s="2"/>
      <c r="B72" s="2"/>
      <c r="C72" s="2"/>
      <c r="D72" s="2"/>
      <c r="E72" s="2"/>
      <c r="F72" s="2"/>
      <c r="G72" s="2"/>
      <c r="H72" s="2"/>
    </row>
    <row r="73" ht="15.75" customHeight="1">
      <c r="A73" s="2"/>
      <c r="B73" s="2"/>
      <c r="C73" s="2"/>
      <c r="D73" s="2"/>
      <c r="E73" s="2"/>
      <c r="F73" s="2"/>
      <c r="G73" s="2"/>
      <c r="H73" s="2"/>
    </row>
    <row r="74" ht="15.75" customHeight="1">
      <c r="A74" s="2"/>
      <c r="B74" s="2"/>
      <c r="C74" s="2"/>
      <c r="D74" s="2"/>
      <c r="E74" s="2"/>
      <c r="F74" s="2"/>
      <c r="G74" s="2"/>
      <c r="H74" s="2"/>
    </row>
    <row r="75" ht="15.75" customHeight="1">
      <c r="A75" s="2"/>
      <c r="B75" s="2"/>
      <c r="C75" s="2"/>
      <c r="D75" s="2"/>
      <c r="E75" s="2"/>
      <c r="F75" s="2"/>
      <c r="G75" s="2"/>
      <c r="H75" s="2"/>
    </row>
    <row r="76" ht="15.75" customHeight="1">
      <c r="A76" s="2"/>
      <c r="B76" s="2"/>
      <c r="C76" s="2"/>
      <c r="D76" s="2"/>
      <c r="E76" s="2"/>
      <c r="F76" s="2"/>
      <c r="G76" s="2"/>
      <c r="H76" s="2"/>
    </row>
    <row r="77" ht="15.75" customHeight="1">
      <c r="A77" s="2"/>
      <c r="B77" s="2"/>
      <c r="C77" s="2"/>
      <c r="D77" s="2"/>
      <c r="E77" s="2"/>
      <c r="F77" s="2"/>
      <c r="G77" s="2"/>
      <c r="H77" s="2"/>
    </row>
    <row r="78" ht="15.75" customHeight="1">
      <c r="A78" s="2"/>
      <c r="B78" s="2"/>
      <c r="C78" s="2"/>
      <c r="D78" s="2"/>
      <c r="E78" s="2"/>
      <c r="F78" s="2"/>
      <c r="G78" s="2"/>
      <c r="H78" s="2"/>
    </row>
    <row r="79" ht="15.75" customHeight="1">
      <c r="A79" s="2"/>
      <c r="B79" s="2"/>
      <c r="C79" s="2"/>
      <c r="D79" s="2"/>
      <c r="E79" s="2"/>
      <c r="F79" s="2"/>
      <c r="G79" s="2"/>
      <c r="H79" s="2"/>
    </row>
    <row r="80" ht="15.75" customHeight="1">
      <c r="A80" s="2"/>
      <c r="B80" s="2"/>
      <c r="C80" s="2"/>
      <c r="D80" s="2"/>
      <c r="E80" s="2"/>
      <c r="F80" s="2"/>
      <c r="G80" s="2"/>
      <c r="H80" s="2"/>
    </row>
    <row r="81" ht="15.75" customHeight="1">
      <c r="A81" s="2"/>
      <c r="B81" s="2"/>
      <c r="C81" s="2"/>
      <c r="D81" s="2"/>
      <c r="E81" s="2"/>
      <c r="F81" s="2"/>
      <c r="G81" s="2"/>
      <c r="H81" s="2"/>
    </row>
    <row r="82" ht="15.75" customHeight="1">
      <c r="A82" s="2"/>
      <c r="B82" s="2"/>
      <c r="C82" s="2"/>
      <c r="D82" s="2"/>
      <c r="E82" s="2"/>
      <c r="F82" s="2"/>
      <c r="G82" s="2"/>
      <c r="H82" s="2"/>
    </row>
    <row r="83" ht="15.75" customHeight="1">
      <c r="A83" s="2"/>
      <c r="B83" s="2"/>
      <c r="C83" s="2"/>
      <c r="D83" s="2"/>
      <c r="E83" s="2"/>
      <c r="F83" s="2"/>
      <c r="G83" s="2"/>
      <c r="H83" s="2"/>
    </row>
    <row r="84" ht="15.75" customHeight="1">
      <c r="A84" s="2"/>
      <c r="B84" s="2"/>
      <c r="C84" s="2"/>
      <c r="D84" s="2"/>
      <c r="E84" s="2"/>
      <c r="F84" s="2"/>
      <c r="G84" s="2"/>
      <c r="H84" s="2"/>
    </row>
    <row r="85" ht="15.75" customHeight="1">
      <c r="A85" s="2"/>
      <c r="B85" s="2"/>
      <c r="C85" s="2"/>
      <c r="D85" s="2"/>
      <c r="E85" s="2"/>
      <c r="F85" s="2"/>
      <c r="G85" s="2"/>
      <c r="H85" s="2"/>
    </row>
    <row r="86" ht="15.75" customHeight="1">
      <c r="A86" s="2"/>
      <c r="B86" s="2"/>
      <c r="C86" s="2"/>
      <c r="D86" s="2"/>
      <c r="E86" s="2"/>
      <c r="F86" s="2"/>
      <c r="G86" s="2"/>
      <c r="H86" s="2"/>
    </row>
    <row r="87" ht="15.75" customHeight="1">
      <c r="A87" s="2"/>
      <c r="B87" s="2"/>
      <c r="C87" s="2"/>
      <c r="D87" s="2"/>
      <c r="E87" s="2"/>
      <c r="F87" s="2"/>
      <c r="G87" s="2"/>
      <c r="H87" s="2"/>
    </row>
    <row r="88" ht="15.75" customHeight="1">
      <c r="A88" s="2"/>
      <c r="B88" s="2"/>
      <c r="C88" s="2"/>
      <c r="D88" s="2"/>
      <c r="E88" s="2"/>
      <c r="F88" s="2"/>
      <c r="G88" s="2"/>
      <c r="H88" s="2"/>
    </row>
    <row r="89" ht="15.75" customHeight="1">
      <c r="A89" s="2"/>
      <c r="B89" s="2"/>
      <c r="C89" s="2"/>
      <c r="D89" s="2"/>
      <c r="E89" s="2"/>
      <c r="F89" s="2"/>
      <c r="G89" s="2"/>
      <c r="H89" s="2"/>
    </row>
    <row r="90" ht="15.75" customHeight="1">
      <c r="A90" s="2"/>
      <c r="B90" s="2"/>
      <c r="C90" s="2"/>
      <c r="D90" s="2"/>
      <c r="E90" s="2"/>
      <c r="F90" s="2"/>
      <c r="G90" s="2"/>
      <c r="H90" s="2"/>
    </row>
    <row r="91" ht="15.75" customHeight="1">
      <c r="A91" s="2"/>
      <c r="B91" s="2"/>
      <c r="C91" s="2"/>
      <c r="D91" s="2"/>
      <c r="E91" s="2"/>
      <c r="F91" s="2"/>
      <c r="G91" s="2"/>
      <c r="H91" s="2"/>
    </row>
    <row r="92" ht="15.75" customHeight="1">
      <c r="A92" s="2"/>
      <c r="B92" s="2"/>
      <c r="C92" s="2"/>
      <c r="D92" s="2"/>
      <c r="E92" s="2"/>
      <c r="F92" s="2"/>
      <c r="G92" s="2"/>
      <c r="H92" s="2"/>
    </row>
    <row r="93" ht="15.75" customHeight="1">
      <c r="A93" s="2"/>
      <c r="B93" s="2"/>
      <c r="C93" s="2"/>
      <c r="D93" s="2"/>
      <c r="E93" s="2"/>
      <c r="F93" s="2"/>
      <c r="G93" s="2"/>
      <c r="H93" s="2"/>
    </row>
    <row r="94" ht="15.75" customHeight="1">
      <c r="A94" s="2"/>
      <c r="B94" s="2"/>
      <c r="C94" s="2"/>
      <c r="D94" s="2"/>
      <c r="E94" s="2"/>
      <c r="F94" s="2"/>
      <c r="G94" s="2"/>
      <c r="H94" s="2"/>
    </row>
    <row r="95" ht="15.75" customHeight="1">
      <c r="A95" s="2"/>
      <c r="B95" s="2"/>
      <c r="C95" s="2"/>
      <c r="D95" s="2"/>
      <c r="E95" s="2"/>
      <c r="F95" s="2"/>
      <c r="G95" s="2"/>
      <c r="H95" s="2"/>
    </row>
    <row r="96" ht="15.75" customHeight="1">
      <c r="A96" s="2"/>
      <c r="B96" s="2"/>
      <c r="C96" s="2"/>
      <c r="D96" s="2"/>
      <c r="E96" s="2"/>
      <c r="F96" s="2"/>
      <c r="G96" s="2"/>
      <c r="H96" s="2"/>
    </row>
    <row r="97" ht="15.75" customHeight="1">
      <c r="A97" s="2"/>
      <c r="B97" s="2"/>
      <c r="C97" s="2"/>
      <c r="D97" s="2"/>
      <c r="E97" s="2"/>
      <c r="F97" s="2"/>
      <c r="G97" s="2"/>
      <c r="H97" s="2"/>
    </row>
    <row r="98" ht="15.75" customHeight="1">
      <c r="A98" s="2"/>
      <c r="B98" s="2"/>
      <c r="C98" s="2"/>
      <c r="D98" s="2"/>
      <c r="E98" s="2"/>
      <c r="F98" s="2"/>
      <c r="G98" s="2"/>
      <c r="H98" s="2"/>
    </row>
    <row r="99" ht="15.75" customHeight="1">
      <c r="A99" s="2"/>
      <c r="B99" s="2"/>
      <c r="C99" s="2"/>
      <c r="D99" s="2"/>
      <c r="E99" s="2"/>
      <c r="F99" s="2"/>
      <c r="G99" s="2"/>
      <c r="H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</row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4.0"/>
    <col customWidth="1" min="3" max="3" width="22.0"/>
    <col customWidth="1" min="4" max="4" width="30.0"/>
    <col customWidth="1" min="5" max="5" width="18.0"/>
    <col customWidth="1" min="6" max="6" width="13.0"/>
    <col customWidth="1" min="7" max="7" width="20.0"/>
    <col customWidth="1" min="8" max="8" width="24.0"/>
  </cols>
  <sheetData>
    <row r="1">
      <c r="A1" s="18" t="s">
        <v>192</v>
      </c>
      <c r="B1" s="2"/>
      <c r="C1" s="2"/>
      <c r="D1" s="2"/>
      <c r="E1" s="2"/>
      <c r="F1" s="2"/>
      <c r="G1" s="2"/>
      <c r="H1" s="2"/>
    </row>
    <row r="2">
      <c r="A2" s="19" t="s">
        <v>193</v>
      </c>
      <c r="B2" s="2"/>
      <c r="C2" s="2"/>
      <c r="D2" s="2"/>
      <c r="E2" s="2"/>
      <c r="F2" s="2"/>
      <c r="G2" s="2"/>
      <c r="H2" s="2"/>
    </row>
    <row r="3">
      <c r="A3" s="2"/>
      <c r="B3" s="2"/>
      <c r="C3" s="2"/>
      <c r="D3" s="2"/>
      <c r="E3" s="2"/>
      <c r="F3" s="2"/>
      <c r="G3" s="2"/>
      <c r="H3" s="2"/>
    </row>
    <row r="4">
      <c r="A4" s="20" t="s">
        <v>81</v>
      </c>
      <c r="B4" s="20" t="s">
        <v>82</v>
      </c>
      <c r="C4" s="20" t="s">
        <v>83</v>
      </c>
      <c r="D4" s="20" t="s">
        <v>84</v>
      </c>
      <c r="E4" s="20" t="s">
        <v>85</v>
      </c>
      <c r="F4" s="20" t="s">
        <v>86</v>
      </c>
      <c r="G4" s="20" t="s">
        <v>87</v>
      </c>
      <c r="H4" s="20" t="s">
        <v>9</v>
      </c>
    </row>
    <row r="5">
      <c r="A5" s="5">
        <v>1.0</v>
      </c>
      <c r="B5" s="5" t="s">
        <v>194</v>
      </c>
      <c r="C5" s="5">
        <v>0.0</v>
      </c>
      <c r="D5" s="6" t="s">
        <v>195</v>
      </c>
      <c r="E5" s="5" t="str">
        <f>C5</f>
        <v>0</v>
      </c>
      <c r="F5" s="5" t="str">
        <f>6000-E5</f>
        <v>6000</v>
      </c>
      <c r="G5" s="8" t="str">
        <f>E5/6000</f>
        <v>0.0%</v>
      </c>
      <c r="H5" s="5" t="str">
        <f>IF(G5&gt;=1, "100.0% (Package Over)", TEXT(MIN(G5*100, 99.9), "0.0") &amp; "%")</f>
        <v>0.0%</v>
      </c>
    </row>
    <row r="6">
      <c r="A6" s="2"/>
      <c r="B6" s="2"/>
      <c r="C6" s="2"/>
      <c r="D6" s="2"/>
      <c r="E6" s="2"/>
      <c r="F6" s="2"/>
      <c r="G6" s="2"/>
      <c r="H6" s="2"/>
    </row>
    <row r="7">
      <c r="A7" s="2"/>
      <c r="B7" s="2"/>
      <c r="C7" s="2"/>
      <c r="D7" s="2"/>
      <c r="E7" s="2"/>
      <c r="F7" s="2"/>
      <c r="G7" s="2"/>
      <c r="H7" s="2"/>
    </row>
    <row r="8">
      <c r="A8" s="2"/>
      <c r="B8" s="2"/>
      <c r="C8" s="2"/>
      <c r="D8" s="2"/>
      <c r="E8" s="2"/>
      <c r="F8" s="2"/>
      <c r="G8" s="2"/>
      <c r="H8" s="2"/>
    </row>
    <row r="9">
      <c r="A9" s="2"/>
      <c r="B9" s="2"/>
      <c r="C9" s="2"/>
      <c r="D9" s="2"/>
      <c r="E9" s="2"/>
      <c r="F9" s="2"/>
      <c r="G9" s="2"/>
      <c r="H9" s="2"/>
    </row>
    <row r="10">
      <c r="A10" s="2"/>
      <c r="B10" s="2"/>
      <c r="C10" s="2"/>
      <c r="D10" s="2"/>
      <c r="E10" s="2"/>
      <c r="F10" s="2"/>
      <c r="G10" s="2"/>
      <c r="H10" s="2"/>
    </row>
    <row r="11">
      <c r="A11" s="2"/>
      <c r="B11" s="2"/>
      <c r="C11" s="2"/>
      <c r="D11" s="2"/>
      <c r="E11" s="2"/>
      <c r="F11" s="2"/>
      <c r="G11" s="2"/>
      <c r="H11" s="2"/>
    </row>
    <row r="12">
      <c r="A12" s="2"/>
      <c r="B12" s="2"/>
      <c r="C12" s="2"/>
      <c r="D12" s="2"/>
      <c r="E12" s="2"/>
      <c r="F12" s="2"/>
      <c r="G12" s="2"/>
      <c r="H12" s="2"/>
    </row>
    <row r="13">
      <c r="A13" s="2"/>
      <c r="B13" s="2"/>
      <c r="C13" s="2"/>
      <c r="D13" s="2"/>
      <c r="E13" s="2"/>
      <c r="F13" s="2"/>
      <c r="G13" s="2"/>
      <c r="H13" s="2"/>
    </row>
    <row r="14">
      <c r="A14" s="2"/>
      <c r="B14" s="2"/>
      <c r="C14" s="2"/>
      <c r="D14" s="2"/>
      <c r="E14" s="2"/>
      <c r="F14" s="2"/>
      <c r="G14" s="2"/>
      <c r="H14" s="2"/>
    </row>
    <row r="15">
      <c r="A15" s="2"/>
      <c r="B15" s="2"/>
      <c r="C15" s="2"/>
      <c r="D15" s="2"/>
      <c r="E15" s="2"/>
      <c r="F15" s="2"/>
      <c r="G15" s="2"/>
      <c r="H15" s="2"/>
    </row>
    <row r="16">
      <c r="A16" s="2"/>
      <c r="B16" s="2"/>
      <c r="C16" s="2"/>
      <c r="D16" s="2"/>
      <c r="E16" s="2"/>
      <c r="F16" s="2"/>
      <c r="G16" s="2"/>
      <c r="H16" s="2"/>
    </row>
    <row r="17">
      <c r="A17" s="2"/>
      <c r="B17" s="2"/>
      <c r="C17" s="2"/>
      <c r="D17" s="2"/>
      <c r="E17" s="2"/>
      <c r="F17" s="2"/>
      <c r="G17" s="2"/>
      <c r="H17" s="2"/>
    </row>
    <row r="18">
      <c r="A18" s="2"/>
      <c r="B18" s="2"/>
      <c r="C18" s="2"/>
      <c r="D18" s="2"/>
      <c r="E18" s="2"/>
      <c r="F18" s="2"/>
      <c r="G18" s="2"/>
      <c r="H18" s="2"/>
    </row>
    <row r="19">
      <c r="A19" s="2"/>
      <c r="B19" s="2"/>
      <c r="C19" s="2"/>
      <c r="D19" s="2"/>
      <c r="E19" s="2"/>
      <c r="F19" s="2"/>
      <c r="G19" s="2"/>
      <c r="H19" s="2"/>
    </row>
    <row r="20">
      <c r="A20" s="2"/>
      <c r="B20" s="2"/>
      <c r="C20" s="2"/>
      <c r="D20" s="2"/>
      <c r="E20" s="2"/>
      <c r="F20" s="2"/>
      <c r="G20" s="2"/>
      <c r="H20" s="2"/>
    </row>
    <row r="21" ht="15.75" customHeight="1">
      <c r="A21" s="2"/>
      <c r="B21" s="2"/>
      <c r="C21" s="2"/>
      <c r="D21" s="2"/>
      <c r="E21" s="2"/>
      <c r="F21" s="2"/>
      <c r="G21" s="2"/>
      <c r="H21" s="2"/>
    </row>
    <row r="22" ht="15.75" customHeight="1">
      <c r="A22" s="2"/>
      <c r="B22" s="2"/>
      <c r="C22" s="2"/>
      <c r="D22" s="2"/>
      <c r="E22" s="2"/>
      <c r="F22" s="2"/>
      <c r="G22" s="2"/>
      <c r="H22" s="2"/>
    </row>
    <row r="23" ht="15.75" customHeight="1">
      <c r="A23" s="2"/>
      <c r="B23" s="2"/>
      <c r="C23" s="2"/>
      <c r="D23" s="2"/>
      <c r="E23" s="2"/>
      <c r="F23" s="2"/>
      <c r="G23" s="2"/>
      <c r="H23" s="2"/>
    </row>
    <row r="24" ht="15.75" customHeight="1">
      <c r="A24" s="2"/>
      <c r="B24" s="2"/>
      <c r="C24" s="2"/>
      <c r="D24" s="2"/>
      <c r="E24" s="2"/>
      <c r="F24" s="2"/>
      <c r="G24" s="2"/>
      <c r="H24" s="2"/>
    </row>
    <row r="25" ht="15.75" customHeight="1">
      <c r="A25" s="2"/>
      <c r="B25" s="2"/>
      <c r="C25" s="2"/>
      <c r="D25" s="2"/>
      <c r="E25" s="2"/>
      <c r="F25" s="2"/>
      <c r="G25" s="2"/>
      <c r="H25" s="2"/>
    </row>
    <row r="26" ht="15.75" customHeight="1">
      <c r="A26" s="2"/>
      <c r="B26" s="2"/>
      <c r="C26" s="2"/>
      <c r="D26" s="2"/>
      <c r="E26" s="2"/>
      <c r="F26" s="2"/>
      <c r="G26" s="2"/>
      <c r="H26" s="2"/>
    </row>
    <row r="27" ht="15.75" customHeight="1">
      <c r="A27" s="2"/>
      <c r="B27" s="2"/>
      <c r="C27" s="2"/>
      <c r="D27" s="2"/>
      <c r="E27" s="2"/>
      <c r="F27" s="2"/>
      <c r="G27" s="2"/>
      <c r="H27" s="2"/>
    </row>
    <row r="28" ht="15.75" customHeight="1">
      <c r="A28" s="2"/>
      <c r="B28" s="2"/>
      <c r="C28" s="2"/>
      <c r="D28" s="2"/>
      <c r="E28" s="2"/>
      <c r="F28" s="2"/>
      <c r="G28" s="2"/>
      <c r="H28" s="2"/>
    </row>
    <row r="29" ht="15.75" customHeight="1">
      <c r="A29" s="2"/>
      <c r="B29" s="2"/>
      <c r="C29" s="2"/>
      <c r="D29" s="2"/>
      <c r="E29" s="2"/>
      <c r="F29" s="2"/>
      <c r="G29" s="2"/>
      <c r="H29" s="2"/>
    </row>
    <row r="30" ht="15.75" customHeight="1">
      <c r="A30" s="2"/>
      <c r="B30" s="2"/>
      <c r="C30" s="2"/>
      <c r="D30" s="2"/>
      <c r="E30" s="2"/>
      <c r="F30" s="2"/>
      <c r="G30" s="2"/>
      <c r="H30" s="2"/>
    </row>
    <row r="31" ht="15.75" customHeight="1">
      <c r="A31" s="2"/>
      <c r="B31" s="2"/>
      <c r="C31" s="2"/>
      <c r="D31" s="2"/>
      <c r="E31" s="2"/>
      <c r="F31" s="2"/>
      <c r="G31" s="2"/>
      <c r="H31" s="2"/>
    </row>
    <row r="32" ht="15.75" customHeight="1">
      <c r="A32" s="2"/>
      <c r="B32" s="2"/>
      <c r="C32" s="2"/>
      <c r="D32" s="2"/>
      <c r="E32" s="2"/>
      <c r="F32" s="2"/>
      <c r="G32" s="2"/>
      <c r="H32" s="2"/>
    </row>
    <row r="33" ht="15.75" customHeight="1">
      <c r="A33" s="2"/>
      <c r="B33" s="2"/>
      <c r="C33" s="2"/>
      <c r="D33" s="2"/>
      <c r="E33" s="2"/>
      <c r="F33" s="2"/>
      <c r="G33" s="2"/>
      <c r="H33" s="2"/>
    </row>
    <row r="34" ht="15.75" customHeight="1">
      <c r="A34" s="2"/>
      <c r="B34" s="2"/>
      <c r="C34" s="2"/>
      <c r="D34" s="2"/>
      <c r="E34" s="2"/>
      <c r="F34" s="2"/>
      <c r="G34" s="2"/>
      <c r="H34" s="2"/>
    </row>
    <row r="35" ht="15.75" customHeight="1">
      <c r="A35" s="2"/>
      <c r="B35" s="2"/>
      <c r="C35" s="2"/>
      <c r="D35" s="2"/>
      <c r="E35" s="2"/>
      <c r="F35" s="2"/>
      <c r="G35" s="2"/>
      <c r="H35" s="2"/>
    </row>
    <row r="36" ht="15.75" customHeight="1">
      <c r="A36" s="2"/>
      <c r="B36" s="2"/>
      <c r="C36" s="2"/>
      <c r="D36" s="2"/>
      <c r="E36" s="2"/>
      <c r="F36" s="2"/>
      <c r="G36" s="2"/>
      <c r="H36" s="2"/>
    </row>
    <row r="37" ht="15.75" customHeight="1">
      <c r="A37" s="2"/>
      <c r="B37" s="2"/>
      <c r="C37" s="2"/>
      <c r="D37" s="2"/>
      <c r="E37" s="2"/>
      <c r="F37" s="2"/>
      <c r="G37" s="2"/>
      <c r="H37" s="2"/>
    </row>
    <row r="38" ht="15.75" customHeight="1">
      <c r="A38" s="2"/>
      <c r="B38" s="2"/>
      <c r="C38" s="2"/>
      <c r="D38" s="2"/>
      <c r="E38" s="2"/>
      <c r="F38" s="2"/>
      <c r="G38" s="2"/>
      <c r="H38" s="2"/>
    </row>
    <row r="39" ht="15.75" customHeight="1">
      <c r="A39" s="2"/>
      <c r="B39" s="2"/>
      <c r="C39" s="2"/>
      <c r="D39" s="2"/>
      <c r="E39" s="2"/>
      <c r="F39" s="2"/>
      <c r="G39" s="2"/>
      <c r="H39" s="2"/>
    </row>
    <row r="40" ht="15.75" customHeight="1">
      <c r="A40" s="2"/>
      <c r="B40" s="2"/>
      <c r="C40" s="2"/>
      <c r="D40" s="2"/>
      <c r="E40" s="2"/>
      <c r="F40" s="2"/>
      <c r="G40" s="2"/>
      <c r="H40" s="2"/>
    </row>
    <row r="41" ht="15.75" customHeight="1">
      <c r="A41" s="2"/>
      <c r="B41" s="2"/>
      <c r="C41" s="2"/>
      <c r="D41" s="2"/>
      <c r="E41" s="2"/>
      <c r="F41" s="2"/>
      <c r="G41" s="2"/>
      <c r="H41" s="2"/>
    </row>
    <row r="42" ht="15.75" customHeight="1">
      <c r="A42" s="2"/>
      <c r="B42" s="2"/>
      <c r="C42" s="2"/>
      <c r="D42" s="2"/>
      <c r="E42" s="2"/>
      <c r="F42" s="2"/>
      <c r="G42" s="2"/>
      <c r="H42" s="2"/>
    </row>
    <row r="43" ht="15.75" customHeight="1">
      <c r="A43" s="2"/>
      <c r="B43" s="2"/>
      <c r="C43" s="2"/>
      <c r="D43" s="2"/>
      <c r="E43" s="2"/>
      <c r="F43" s="2"/>
      <c r="G43" s="2"/>
      <c r="H43" s="2"/>
    </row>
    <row r="44" ht="15.75" customHeight="1">
      <c r="A44" s="2"/>
      <c r="B44" s="2"/>
      <c r="C44" s="2"/>
      <c r="D44" s="2"/>
      <c r="E44" s="2"/>
      <c r="F44" s="2"/>
      <c r="G44" s="2"/>
      <c r="H44" s="2"/>
    </row>
    <row r="45" ht="15.75" customHeight="1">
      <c r="A45" s="2"/>
      <c r="B45" s="2"/>
      <c r="C45" s="2"/>
      <c r="D45" s="2"/>
      <c r="E45" s="2"/>
      <c r="F45" s="2"/>
      <c r="G45" s="2"/>
      <c r="H45" s="2"/>
    </row>
    <row r="46" ht="15.75" customHeight="1">
      <c r="A46" s="2"/>
      <c r="B46" s="2"/>
      <c r="C46" s="2"/>
      <c r="D46" s="2"/>
      <c r="E46" s="2"/>
      <c r="F46" s="2"/>
      <c r="G46" s="2"/>
      <c r="H46" s="2"/>
    </row>
    <row r="47" ht="15.75" customHeight="1">
      <c r="A47" s="2"/>
      <c r="B47" s="2"/>
      <c r="C47" s="2"/>
      <c r="D47" s="2"/>
      <c r="E47" s="2"/>
      <c r="F47" s="2"/>
      <c r="G47" s="2"/>
      <c r="H47" s="2"/>
    </row>
    <row r="48" ht="15.75" customHeight="1">
      <c r="A48" s="2"/>
      <c r="B48" s="2"/>
      <c r="C48" s="2"/>
      <c r="D48" s="2"/>
      <c r="E48" s="2"/>
      <c r="F48" s="2"/>
      <c r="G48" s="2"/>
      <c r="H48" s="2"/>
    </row>
    <row r="49" ht="15.75" customHeight="1">
      <c r="A49" s="2"/>
      <c r="B49" s="2"/>
      <c r="C49" s="2"/>
      <c r="D49" s="2"/>
      <c r="E49" s="2"/>
      <c r="F49" s="2"/>
      <c r="G49" s="2"/>
      <c r="H49" s="2"/>
    </row>
    <row r="50" ht="15.75" customHeight="1">
      <c r="A50" s="2"/>
      <c r="B50" s="2"/>
      <c r="C50" s="2"/>
      <c r="D50" s="2"/>
      <c r="E50" s="2"/>
      <c r="F50" s="2"/>
      <c r="G50" s="2"/>
      <c r="H50" s="2"/>
    </row>
    <row r="51" ht="15.75" customHeight="1">
      <c r="A51" s="2"/>
      <c r="B51" s="2"/>
      <c r="C51" s="2"/>
      <c r="D51" s="2"/>
      <c r="E51" s="2"/>
      <c r="F51" s="2"/>
      <c r="G51" s="2"/>
      <c r="H51" s="2"/>
    </row>
    <row r="52" ht="15.75" customHeight="1">
      <c r="A52" s="2"/>
      <c r="B52" s="2"/>
      <c r="C52" s="2"/>
      <c r="D52" s="2"/>
      <c r="E52" s="2"/>
      <c r="F52" s="2"/>
      <c r="G52" s="2"/>
      <c r="H52" s="2"/>
    </row>
    <row r="53" ht="15.75" customHeight="1">
      <c r="A53" s="2"/>
      <c r="B53" s="2"/>
      <c r="C53" s="2"/>
      <c r="D53" s="2"/>
      <c r="E53" s="2"/>
      <c r="F53" s="2"/>
      <c r="G53" s="2"/>
      <c r="H53" s="2"/>
    </row>
    <row r="54" ht="15.75" customHeight="1">
      <c r="A54" s="2"/>
      <c r="B54" s="2"/>
      <c r="C54" s="2"/>
      <c r="D54" s="2"/>
      <c r="E54" s="2"/>
      <c r="F54" s="2"/>
      <c r="G54" s="2"/>
      <c r="H54" s="2"/>
    </row>
    <row r="55" ht="15.75" customHeight="1">
      <c r="A55" s="2"/>
      <c r="B55" s="2"/>
      <c r="C55" s="2"/>
      <c r="D55" s="2"/>
      <c r="E55" s="2"/>
      <c r="F55" s="2"/>
      <c r="G55" s="2"/>
      <c r="H55" s="2"/>
    </row>
    <row r="56" ht="15.75" customHeight="1">
      <c r="A56" s="2"/>
      <c r="B56" s="2"/>
      <c r="C56" s="2"/>
      <c r="D56" s="2"/>
      <c r="E56" s="2"/>
      <c r="F56" s="2"/>
      <c r="G56" s="2"/>
      <c r="H56" s="2"/>
    </row>
    <row r="57" ht="15.75" customHeight="1">
      <c r="A57" s="2"/>
      <c r="B57" s="2"/>
      <c r="C57" s="2"/>
      <c r="D57" s="2"/>
      <c r="E57" s="2"/>
      <c r="F57" s="2"/>
      <c r="G57" s="2"/>
      <c r="H57" s="2"/>
    </row>
    <row r="58" ht="15.75" customHeight="1">
      <c r="A58" s="2"/>
      <c r="B58" s="2"/>
      <c r="C58" s="2"/>
      <c r="D58" s="2"/>
      <c r="E58" s="2"/>
      <c r="F58" s="2"/>
      <c r="G58" s="2"/>
      <c r="H58" s="2"/>
    </row>
    <row r="59" ht="15.75" customHeight="1">
      <c r="A59" s="2"/>
      <c r="B59" s="2"/>
      <c r="C59" s="2"/>
      <c r="D59" s="2"/>
      <c r="E59" s="2"/>
      <c r="F59" s="2"/>
      <c r="G59" s="2"/>
      <c r="H59" s="2"/>
    </row>
    <row r="60" ht="15.75" customHeight="1">
      <c r="A60" s="2"/>
      <c r="B60" s="2"/>
      <c r="C60" s="2"/>
      <c r="D60" s="2"/>
      <c r="E60" s="2"/>
      <c r="F60" s="2"/>
      <c r="G60" s="2"/>
      <c r="H60" s="2"/>
    </row>
    <row r="61" ht="15.75" customHeight="1">
      <c r="A61" s="2"/>
      <c r="B61" s="2"/>
      <c r="C61" s="2"/>
      <c r="D61" s="2"/>
      <c r="E61" s="2"/>
      <c r="F61" s="2"/>
      <c r="G61" s="2"/>
      <c r="H61" s="2"/>
    </row>
    <row r="62" ht="15.75" customHeight="1">
      <c r="A62" s="2"/>
      <c r="B62" s="2"/>
      <c r="C62" s="2"/>
      <c r="D62" s="2"/>
      <c r="E62" s="2"/>
      <c r="F62" s="2"/>
      <c r="G62" s="2"/>
      <c r="H62" s="2"/>
    </row>
    <row r="63" ht="15.75" customHeight="1">
      <c r="A63" s="2"/>
      <c r="B63" s="2"/>
      <c r="C63" s="2"/>
      <c r="D63" s="2"/>
      <c r="E63" s="2"/>
      <c r="F63" s="2"/>
      <c r="G63" s="2"/>
      <c r="H63" s="2"/>
    </row>
    <row r="64" ht="15.75" customHeight="1">
      <c r="A64" s="2"/>
      <c r="B64" s="2"/>
      <c r="C64" s="2"/>
      <c r="D64" s="2"/>
      <c r="E64" s="2"/>
      <c r="F64" s="2"/>
      <c r="G64" s="2"/>
      <c r="H64" s="2"/>
    </row>
    <row r="65" ht="15.75" customHeight="1">
      <c r="A65" s="2"/>
      <c r="B65" s="2"/>
      <c r="C65" s="2"/>
      <c r="D65" s="2"/>
      <c r="E65" s="2"/>
      <c r="F65" s="2"/>
      <c r="G65" s="2"/>
      <c r="H65" s="2"/>
    </row>
    <row r="66" ht="15.75" customHeight="1">
      <c r="A66" s="2"/>
      <c r="B66" s="2"/>
      <c r="C66" s="2"/>
      <c r="D66" s="2"/>
      <c r="E66" s="2"/>
      <c r="F66" s="2"/>
      <c r="G66" s="2"/>
      <c r="H66" s="2"/>
    </row>
    <row r="67" ht="15.75" customHeight="1">
      <c r="A67" s="2"/>
      <c r="B67" s="2"/>
      <c r="C67" s="2"/>
      <c r="D67" s="2"/>
      <c r="E67" s="2"/>
      <c r="F67" s="2"/>
      <c r="G67" s="2"/>
      <c r="H67" s="2"/>
    </row>
    <row r="68" ht="15.75" customHeight="1">
      <c r="A68" s="2"/>
      <c r="B68" s="2"/>
      <c r="C68" s="2"/>
      <c r="D68" s="2"/>
      <c r="E68" s="2"/>
      <c r="F68" s="2"/>
      <c r="G68" s="2"/>
      <c r="H68" s="2"/>
    </row>
    <row r="69" ht="15.75" customHeight="1">
      <c r="A69" s="2"/>
      <c r="B69" s="2"/>
      <c r="C69" s="2"/>
      <c r="D69" s="2"/>
      <c r="E69" s="2"/>
      <c r="F69" s="2"/>
      <c r="G69" s="2"/>
      <c r="H69" s="2"/>
    </row>
    <row r="70" ht="15.75" customHeight="1">
      <c r="A70" s="2"/>
      <c r="B70" s="2"/>
      <c r="C70" s="2"/>
      <c r="D70" s="2"/>
      <c r="E70" s="2"/>
      <c r="F70" s="2"/>
      <c r="G70" s="2"/>
      <c r="H70" s="2"/>
    </row>
    <row r="71" ht="15.75" customHeight="1">
      <c r="A71" s="2"/>
      <c r="B71" s="2"/>
      <c r="C71" s="2"/>
      <c r="D71" s="2"/>
      <c r="E71" s="2"/>
      <c r="F71" s="2"/>
      <c r="G71" s="2"/>
      <c r="H71" s="2"/>
    </row>
    <row r="72" ht="15.75" customHeight="1">
      <c r="A72" s="2"/>
      <c r="B72" s="2"/>
      <c r="C72" s="2"/>
      <c r="D72" s="2"/>
      <c r="E72" s="2"/>
      <c r="F72" s="2"/>
      <c r="G72" s="2"/>
      <c r="H72" s="2"/>
    </row>
    <row r="73" ht="15.75" customHeight="1">
      <c r="A73" s="2"/>
      <c r="B73" s="2"/>
      <c r="C73" s="2"/>
      <c r="D73" s="2"/>
      <c r="E73" s="2"/>
      <c r="F73" s="2"/>
      <c r="G73" s="2"/>
      <c r="H73" s="2"/>
    </row>
    <row r="74" ht="15.75" customHeight="1">
      <c r="A74" s="2"/>
      <c r="B74" s="2"/>
      <c r="C74" s="2"/>
      <c r="D74" s="2"/>
      <c r="E74" s="2"/>
      <c r="F74" s="2"/>
      <c r="G74" s="2"/>
      <c r="H74" s="2"/>
    </row>
    <row r="75" ht="15.75" customHeight="1">
      <c r="A75" s="2"/>
      <c r="B75" s="2"/>
      <c r="C75" s="2"/>
      <c r="D75" s="2"/>
      <c r="E75" s="2"/>
      <c r="F75" s="2"/>
      <c r="G75" s="2"/>
      <c r="H75" s="2"/>
    </row>
    <row r="76" ht="15.75" customHeight="1">
      <c r="A76" s="2"/>
      <c r="B76" s="2"/>
      <c r="C76" s="2"/>
      <c r="D76" s="2"/>
      <c r="E76" s="2"/>
      <c r="F76" s="2"/>
      <c r="G76" s="2"/>
      <c r="H76" s="2"/>
    </row>
    <row r="77" ht="15.75" customHeight="1">
      <c r="A77" s="2"/>
      <c r="B77" s="2"/>
      <c r="C77" s="2"/>
      <c r="D77" s="2"/>
      <c r="E77" s="2"/>
      <c r="F77" s="2"/>
      <c r="G77" s="2"/>
      <c r="H77" s="2"/>
    </row>
    <row r="78" ht="15.75" customHeight="1">
      <c r="A78" s="2"/>
      <c r="B78" s="2"/>
      <c r="C78" s="2"/>
      <c r="D78" s="2"/>
      <c r="E78" s="2"/>
      <c r="F78" s="2"/>
      <c r="G78" s="2"/>
      <c r="H78" s="2"/>
    </row>
    <row r="79" ht="15.75" customHeight="1">
      <c r="A79" s="2"/>
      <c r="B79" s="2"/>
      <c r="C79" s="2"/>
      <c r="D79" s="2"/>
      <c r="E79" s="2"/>
      <c r="F79" s="2"/>
      <c r="G79" s="2"/>
      <c r="H79" s="2"/>
    </row>
    <row r="80" ht="15.75" customHeight="1">
      <c r="A80" s="2"/>
      <c r="B80" s="2"/>
      <c r="C80" s="2"/>
      <c r="D80" s="2"/>
      <c r="E80" s="2"/>
      <c r="F80" s="2"/>
      <c r="G80" s="2"/>
      <c r="H80" s="2"/>
    </row>
    <row r="81" ht="15.75" customHeight="1">
      <c r="A81" s="2"/>
      <c r="B81" s="2"/>
      <c r="C81" s="2"/>
      <c r="D81" s="2"/>
      <c r="E81" s="2"/>
      <c r="F81" s="2"/>
      <c r="G81" s="2"/>
      <c r="H81" s="2"/>
    </row>
    <row r="82" ht="15.75" customHeight="1">
      <c r="A82" s="2"/>
      <c r="B82" s="2"/>
      <c r="C82" s="2"/>
      <c r="D82" s="2"/>
      <c r="E82" s="2"/>
      <c r="F82" s="2"/>
      <c r="G82" s="2"/>
      <c r="H82" s="2"/>
    </row>
    <row r="83" ht="15.75" customHeight="1">
      <c r="A83" s="2"/>
      <c r="B83" s="2"/>
      <c r="C83" s="2"/>
      <c r="D83" s="2"/>
      <c r="E83" s="2"/>
      <c r="F83" s="2"/>
      <c r="G83" s="2"/>
      <c r="H83" s="2"/>
    </row>
    <row r="84" ht="15.75" customHeight="1">
      <c r="A84" s="2"/>
      <c r="B84" s="2"/>
      <c r="C84" s="2"/>
      <c r="D84" s="2"/>
      <c r="E84" s="2"/>
      <c r="F84" s="2"/>
      <c r="G84" s="2"/>
      <c r="H84" s="2"/>
    </row>
    <row r="85" ht="15.75" customHeight="1">
      <c r="A85" s="2"/>
      <c r="B85" s="2"/>
      <c r="C85" s="2"/>
      <c r="D85" s="2"/>
      <c r="E85" s="2"/>
      <c r="F85" s="2"/>
      <c r="G85" s="2"/>
      <c r="H85" s="2"/>
    </row>
    <row r="86" ht="15.75" customHeight="1">
      <c r="A86" s="2"/>
      <c r="B86" s="2"/>
      <c r="C86" s="2"/>
      <c r="D86" s="2"/>
      <c r="E86" s="2"/>
      <c r="F86" s="2"/>
      <c r="G86" s="2"/>
      <c r="H86" s="2"/>
    </row>
    <row r="87" ht="15.75" customHeight="1">
      <c r="A87" s="2"/>
      <c r="B87" s="2"/>
      <c r="C87" s="2"/>
      <c r="D87" s="2"/>
      <c r="E87" s="2"/>
      <c r="F87" s="2"/>
      <c r="G87" s="2"/>
      <c r="H87" s="2"/>
    </row>
    <row r="88" ht="15.75" customHeight="1">
      <c r="A88" s="2"/>
      <c r="B88" s="2"/>
      <c r="C88" s="2"/>
      <c r="D88" s="2"/>
      <c r="E88" s="2"/>
      <c r="F88" s="2"/>
      <c r="G88" s="2"/>
      <c r="H88" s="2"/>
    </row>
    <row r="89" ht="15.75" customHeight="1">
      <c r="A89" s="2"/>
      <c r="B89" s="2"/>
      <c r="C89" s="2"/>
      <c r="D89" s="2"/>
      <c r="E89" s="2"/>
      <c r="F89" s="2"/>
      <c r="G89" s="2"/>
      <c r="H89" s="2"/>
    </row>
    <row r="90" ht="15.75" customHeight="1">
      <c r="A90" s="2"/>
      <c r="B90" s="2"/>
      <c r="C90" s="2"/>
      <c r="D90" s="2"/>
      <c r="E90" s="2"/>
      <c r="F90" s="2"/>
      <c r="G90" s="2"/>
      <c r="H90" s="2"/>
    </row>
    <row r="91" ht="15.75" customHeight="1">
      <c r="A91" s="2"/>
      <c r="B91" s="2"/>
      <c r="C91" s="2"/>
      <c r="D91" s="2"/>
      <c r="E91" s="2"/>
      <c r="F91" s="2"/>
      <c r="G91" s="2"/>
      <c r="H91" s="2"/>
    </row>
    <row r="92" ht="15.75" customHeight="1">
      <c r="A92" s="2"/>
      <c r="B92" s="2"/>
      <c r="C92" s="2"/>
      <c r="D92" s="2"/>
      <c r="E92" s="2"/>
      <c r="F92" s="2"/>
      <c r="G92" s="2"/>
      <c r="H92" s="2"/>
    </row>
    <row r="93" ht="15.75" customHeight="1">
      <c r="A93" s="2"/>
      <c r="B93" s="2"/>
      <c r="C93" s="2"/>
      <c r="D93" s="2"/>
      <c r="E93" s="2"/>
      <c r="F93" s="2"/>
      <c r="G93" s="2"/>
      <c r="H93" s="2"/>
    </row>
    <row r="94" ht="15.75" customHeight="1">
      <c r="A94" s="2"/>
      <c r="B94" s="2"/>
      <c r="C94" s="2"/>
      <c r="D94" s="2"/>
      <c r="E94" s="2"/>
      <c r="F94" s="2"/>
      <c r="G94" s="2"/>
      <c r="H94" s="2"/>
    </row>
    <row r="95" ht="15.75" customHeight="1">
      <c r="A95" s="2"/>
      <c r="B95" s="2"/>
      <c r="C95" s="2"/>
      <c r="D95" s="2"/>
      <c r="E95" s="2"/>
      <c r="F95" s="2"/>
      <c r="G95" s="2"/>
      <c r="H95" s="2"/>
    </row>
    <row r="96" ht="15.75" customHeight="1">
      <c r="A96" s="2"/>
      <c r="B96" s="2"/>
      <c r="C96" s="2"/>
      <c r="D96" s="2"/>
      <c r="E96" s="2"/>
      <c r="F96" s="2"/>
      <c r="G96" s="2"/>
      <c r="H96" s="2"/>
    </row>
    <row r="97" ht="15.75" customHeight="1">
      <c r="A97" s="2"/>
      <c r="B97" s="2"/>
      <c r="C97" s="2"/>
      <c r="D97" s="2"/>
      <c r="E97" s="2"/>
      <c r="F97" s="2"/>
      <c r="G97" s="2"/>
      <c r="H97" s="2"/>
    </row>
    <row r="98" ht="15.75" customHeight="1">
      <c r="A98" s="2"/>
      <c r="B98" s="2"/>
      <c r="C98" s="2"/>
      <c r="D98" s="2"/>
      <c r="E98" s="2"/>
      <c r="F98" s="2"/>
      <c r="G98" s="2"/>
      <c r="H98" s="2"/>
    </row>
    <row r="99" ht="15.75" customHeight="1">
      <c r="A99" s="2"/>
      <c r="B99" s="2"/>
      <c r="C99" s="2"/>
      <c r="D99" s="2"/>
      <c r="E99" s="2"/>
      <c r="F99" s="2"/>
      <c r="G99" s="2"/>
      <c r="H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</row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4.0"/>
    <col customWidth="1" min="2" max="2" width="16.0"/>
    <col customWidth="1" min="3" max="3" width="25.0"/>
    <col customWidth="1" min="4" max="4" width="23.0"/>
    <col customWidth="1" min="5" max="5" width="20.0"/>
    <col customWidth="1" min="6" max="6" width="21.0"/>
    <col customWidth="1" min="7" max="7" width="22.0"/>
    <col customWidth="1" min="8" max="8" width="27.0"/>
  </cols>
  <sheetData>
    <row r="1">
      <c r="A1" s="1" t="s">
        <v>196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197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81</v>
      </c>
      <c r="B4" s="4" t="s">
        <v>82</v>
      </c>
      <c r="C4" s="4" t="s">
        <v>83</v>
      </c>
      <c r="D4" s="4" t="s">
        <v>84</v>
      </c>
      <c r="E4" s="4" t="s">
        <v>85</v>
      </c>
      <c r="F4" s="4" t="s">
        <v>86</v>
      </c>
      <c r="G4" s="4" t="s">
        <v>87</v>
      </c>
      <c r="H4" s="4" t="s">
        <v>9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9">
        <v>1.0</v>
      </c>
      <c r="B5" s="9" t="s">
        <v>27</v>
      </c>
      <c r="C5" s="10">
        <v>60.0</v>
      </c>
      <c r="D5" s="10" t="s">
        <v>88</v>
      </c>
      <c r="E5" s="11" t="str">
        <f>C5</f>
        <v>60</v>
      </c>
      <c r="F5" s="11" t="str">
        <f t="shared" ref="F5:F12" si="1">420-E5</f>
        <v>360</v>
      </c>
      <c r="G5" s="12" t="str">
        <f t="shared" ref="G5:G12" si="2">E5/420</f>
        <v>14.3%</v>
      </c>
      <c r="H5" s="13" t="str">
        <f t="shared" ref="H5:H12" si="3">IF(G5&gt;=1, "100.0% (Package Over)", TEXT(MIN(G5*100, 99.9), "0.0") &amp; "%")</f>
        <v>14.3%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4">
        <v>2.0</v>
      </c>
      <c r="B6" s="14" t="s">
        <v>35</v>
      </c>
      <c r="C6" s="15">
        <v>60.0</v>
      </c>
      <c r="D6" s="15" t="s">
        <v>198</v>
      </c>
      <c r="E6" s="16" t="str">
        <f t="shared" ref="E6:E12" si="4">E5+C6</f>
        <v>120</v>
      </c>
      <c r="F6" s="16" t="str">
        <f t="shared" si="1"/>
        <v>300</v>
      </c>
      <c r="G6" s="17" t="str">
        <f t="shared" si="2"/>
        <v>28.6%</v>
      </c>
      <c r="H6" s="13" t="str">
        <f t="shared" si="3"/>
        <v>28.6%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3.0</v>
      </c>
      <c r="B7" s="9" t="s">
        <v>199</v>
      </c>
      <c r="C7" s="10">
        <v>30.0</v>
      </c>
      <c r="D7" s="10" t="s">
        <v>198</v>
      </c>
      <c r="E7" s="11" t="str">
        <f t="shared" si="4"/>
        <v>150</v>
      </c>
      <c r="F7" s="11" t="str">
        <f t="shared" si="1"/>
        <v>270</v>
      </c>
      <c r="G7" s="12" t="str">
        <f t="shared" si="2"/>
        <v>35.7%</v>
      </c>
      <c r="H7" s="13" t="str">
        <f t="shared" si="3"/>
        <v>35.7%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4">
        <v>4.0</v>
      </c>
      <c r="B8" s="14" t="s">
        <v>200</v>
      </c>
      <c r="C8" s="15">
        <v>60.0</v>
      </c>
      <c r="D8" s="15" t="s">
        <v>198</v>
      </c>
      <c r="E8" s="16" t="str">
        <f t="shared" si="4"/>
        <v>210</v>
      </c>
      <c r="F8" s="16" t="str">
        <f t="shared" si="1"/>
        <v>210</v>
      </c>
      <c r="G8" s="17" t="str">
        <f t="shared" si="2"/>
        <v>50.0%</v>
      </c>
      <c r="H8" s="13" t="str">
        <f t="shared" si="3"/>
        <v>50.0%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9">
        <v>5.0</v>
      </c>
      <c r="B9" s="9" t="s">
        <v>201</v>
      </c>
      <c r="C9" s="10">
        <v>75.0</v>
      </c>
      <c r="D9" s="10" t="s">
        <v>91</v>
      </c>
      <c r="E9" s="11" t="str">
        <f t="shared" si="4"/>
        <v>285</v>
      </c>
      <c r="F9" s="11" t="str">
        <f t="shared" si="1"/>
        <v>135</v>
      </c>
      <c r="G9" s="12" t="str">
        <f t="shared" si="2"/>
        <v>67.9%</v>
      </c>
      <c r="H9" s="13" t="str">
        <f t="shared" si="3"/>
        <v>67.9%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4">
        <v>6.0</v>
      </c>
      <c r="B10" s="14" t="s">
        <v>202</v>
      </c>
      <c r="C10" s="15">
        <v>60.0</v>
      </c>
      <c r="D10" s="15" t="s">
        <v>91</v>
      </c>
      <c r="E10" s="16" t="str">
        <f t="shared" si="4"/>
        <v>345</v>
      </c>
      <c r="F10" s="16" t="str">
        <f t="shared" si="1"/>
        <v>75</v>
      </c>
      <c r="G10" s="17" t="str">
        <f t="shared" si="2"/>
        <v>82.1%</v>
      </c>
      <c r="H10" s="13" t="str">
        <f t="shared" si="3"/>
        <v>82.1%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9">
        <v>7.0</v>
      </c>
      <c r="B11" s="9" t="s">
        <v>203</v>
      </c>
      <c r="C11" s="10">
        <v>60.0</v>
      </c>
      <c r="D11" s="10" t="s">
        <v>130</v>
      </c>
      <c r="E11" s="11" t="str">
        <f t="shared" si="4"/>
        <v>405</v>
      </c>
      <c r="F11" s="11" t="str">
        <f t="shared" si="1"/>
        <v>15</v>
      </c>
      <c r="G11" s="12" t="str">
        <f t="shared" si="2"/>
        <v>96.4%</v>
      </c>
      <c r="H11" s="13" t="str">
        <f t="shared" si="3"/>
        <v>96.4%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4">
        <v>8.0</v>
      </c>
      <c r="B12" s="14" t="s">
        <v>204</v>
      </c>
      <c r="C12" s="15">
        <v>15.0</v>
      </c>
      <c r="D12" s="15" t="s">
        <v>91</v>
      </c>
      <c r="E12" s="16" t="str">
        <f t="shared" si="4"/>
        <v>420</v>
      </c>
      <c r="F12" s="16" t="str">
        <f t="shared" si="1"/>
        <v>0</v>
      </c>
      <c r="G12" s="17" t="str">
        <f t="shared" si="2"/>
        <v>100.0%</v>
      </c>
      <c r="H12" s="13" t="str">
        <f t="shared" si="3"/>
        <v>100.0% (Package Over)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0.0"/>
    <col customWidth="1" min="2" max="2" width="16.0"/>
    <col customWidth="1" min="3" max="3" width="25.0"/>
    <col customWidth="1" min="4" max="4" width="41.0"/>
    <col customWidth="1" min="5" max="5" width="20.0"/>
    <col customWidth="1" min="6" max="6" width="21.0"/>
    <col customWidth="1" min="7" max="7" width="22.0"/>
    <col customWidth="1" min="8" max="8" width="27.0"/>
  </cols>
  <sheetData>
    <row r="1">
      <c r="A1" s="1" t="s">
        <v>205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206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81</v>
      </c>
      <c r="B4" s="4" t="s">
        <v>82</v>
      </c>
      <c r="C4" s="4" t="s">
        <v>83</v>
      </c>
      <c r="D4" s="4" t="s">
        <v>84</v>
      </c>
      <c r="E4" s="4" t="s">
        <v>85</v>
      </c>
      <c r="F4" s="4" t="s">
        <v>86</v>
      </c>
      <c r="G4" s="4" t="s">
        <v>87</v>
      </c>
      <c r="H4" s="4" t="s">
        <v>9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9">
        <v>1.0</v>
      </c>
      <c r="B5" s="9" t="s">
        <v>29</v>
      </c>
      <c r="C5" s="10">
        <v>2508.0</v>
      </c>
      <c r="D5" s="10" t="s">
        <v>207</v>
      </c>
      <c r="E5" s="11" t="str">
        <f>C5</f>
        <v>2,508</v>
      </c>
      <c r="F5" s="11" t="str">
        <f t="shared" ref="F5:F8" si="1">7000-E5</f>
        <v>4,492</v>
      </c>
      <c r="G5" s="12" t="str">
        <f t="shared" ref="G5:G8" si="2">E5/7000</f>
        <v>35.8%</v>
      </c>
      <c r="H5" s="13" t="str">
        <f t="shared" ref="H5:H8" si="3">IF(G5&gt;=1, "100.0% (Package Over)", TEXT(MIN(G5*100, 99.9), "0.0") &amp; "%")</f>
        <v>35.8%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4">
        <v>2.0</v>
      </c>
      <c r="B6" s="14" t="s">
        <v>208</v>
      </c>
      <c r="C6" s="15">
        <v>2950.0</v>
      </c>
      <c r="D6" s="15" t="s">
        <v>207</v>
      </c>
      <c r="E6" s="16" t="str">
        <f t="shared" ref="E6:E8" si="4">E5+C6</f>
        <v>5,458</v>
      </c>
      <c r="F6" s="16" t="str">
        <f t="shared" si="1"/>
        <v>1,542</v>
      </c>
      <c r="G6" s="17" t="str">
        <f t="shared" si="2"/>
        <v>78.0%</v>
      </c>
      <c r="H6" s="13" t="str">
        <f t="shared" si="3"/>
        <v>78.0%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3.0</v>
      </c>
      <c r="B7" s="9" t="s">
        <v>209</v>
      </c>
      <c r="C7" s="10">
        <v>950.0</v>
      </c>
      <c r="D7" s="10" t="s">
        <v>207</v>
      </c>
      <c r="E7" s="11" t="str">
        <f t="shared" si="4"/>
        <v>6,408</v>
      </c>
      <c r="F7" s="11" t="str">
        <f t="shared" si="1"/>
        <v>592</v>
      </c>
      <c r="G7" s="12" t="str">
        <f t="shared" si="2"/>
        <v>91.5%</v>
      </c>
      <c r="H7" s="13" t="str">
        <f t="shared" si="3"/>
        <v>91.5%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4">
        <v>4.0</v>
      </c>
      <c r="B8" s="14" t="s">
        <v>210</v>
      </c>
      <c r="C8" s="15">
        <v>592.0</v>
      </c>
      <c r="D8" s="15" t="s">
        <v>211</v>
      </c>
      <c r="E8" s="16" t="str">
        <f t="shared" si="4"/>
        <v>7,000</v>
      </c>
      <c r="F8" s="16" t="str">
        <f t="shared" si="1"/>
        <v>0</v>
      </c>
      <c r="G8" s="17" t="str">
        <f t="shared" si="2"/>
        <v>100.0%</v>
      </c>
      <c r="H8" s="13" t="str">
        <f t="shared" si="3"/>
        <v>100.0% (Package Over)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4.0"/>
    <col customWidth="1" min="3" max="3" width="22.0"/>
    <col customWidth="1" min="4" max="4" width="30.0"/>
    <col customWidth="1" min="5" max="5" width="18.0"/>
    <col customWidth="1" min="6" max="6" width="13.0"/>
    <col customWidth="1" min="7" max="7" width="20.0"/>
    <col customWidth="1" min="8" max="8" width="24.0"/>
  </cols>
  <sheetData>
    <row r="1">
      <c r="A1" s="18" t="s">
        <v>212</v>
      </c>
      <c r="B1" s="2"/>
      <c r="C1" s="2"/>
      <c r="D1" s="2"/>
      <c r="E1" s="2"/>
      <c r="F1" s="2"/>
      <c r="G1" s="2"/>
      <c r="H1" s="2"/>
    </row>
    <row r="2">
      <c r="A2" s="19" t="s">
        <v>213</v>
      </c>
      <c r="B2" s="2"/>
      <c r="C2" s="2"/>
      <c r="D2" s="2"/>
      <c r="E2" s="2"/>
      <c r="F2" s="2"/>
      <c r="G2" s="2"/>
      <c r="H2" s="2"/>
    </row>
    <row r="3">
      <c r="A3" s="2"/>
      <c r="B3" s="2"/>
      <c r="C3" s="2"/>
      <c r="D3" s="2"/>
      <c r="E3" s="2"/>
      <c r="F3" s="2"/>
      <c r="G3" s="2"/>
      <c r="H3" s="2"/>
    </row>
    <row r="4">
      <c r="A4" s="20" t="s">
        <v>81</v>
      </c>
      <c r="B4" s="20" t="s">
        <v>82</v>
      </c>
      <c r="C4" s="20" t="s">
        <v>83</v>
      </c>
      <c r="D4" s="20" t="s">
        <v>84</v>
      </c>
      <c r="E4" s="20" t="s">
        <v>85</v>
      </c>
      <c r="F4" s="20" t="s">
        <v>86</v>
      </c>
      <c r="G4" s="20" t="s">
        <v>87</v>
      </c>
      <c r="H4" s="20" t="s">
        <v>9</v>
      </c>
    </row>
    <row r="5">
      <c r="A5" s="5">
        <v>1.0</v>
      </c>
      <c r="B5" s="5" t="s">
        <v>31</v>
      </c>
      <c r="C5" s="5">
        <v>60.0</v>
      </c>
      <c r="D5" s="6" t="s">
        <v>91</v>
      </c>
      <c r="E5" s="5" t="str">
        <f>C5</f>
        <v>60</v>
      </c>
      <c r="F5" s="5" t="str">
        <f t="shared" ref="F5:F21" si="1">14420-E5</f>
        <v>14360</v>
      </c>
      <c r="G5" s="8" t="str">
        <f t="shared" ref="G5:G21" si="2">E5/14420</f>
        <v>0.4%</v>
      </c>
      <c r="H5" s="5" t="str">
        <f t="shared" ref="H5:H21" si="3">IF(G5&gt;=1, "100.0% (Package Over)", TEXT(MIN(G5*100, 99.9), "0.0") &amp; "%")</f>
        <v>0.4%</v>
      </c>
    </row>
    <row r="6">
      <c r="A6" s="5">
        <v>2.0</v>
      </c>
      <c r="B6" s="5" t="s">
        <v>214</v>
      </c>
      <c r="C6" s="5">
        <v>60.0</v>
      </c>
      <c r="D6" s="6" t="s">
        <v>91</v>
      </c>
      <c r="E6" s="5" t="str">
        <f t="shared" ref="E6:E21" si="4">E5+C6</f>
        <v>120</v>
      </c>
      <c r="F6" s="5" t="str">
        <f t="shared" si="1"/>
        <v>14300</v>
      </c>
      <c r="G6" s="8" t="str">
        <f t="shared" si="2"/>
        <v>0.8%</v>
      </c>
      <c r="H6" s="5" t="str">
        <f t="shared" si="3"/>
        <v>0.8%</v>
      </c>
    </row>
    <row r="7">
      <c r="A7" s="5">
        <v>3.0</v>
      </c>
      <c r="B7" s="5" t="s">
        <v>215</v>
      </c>
      <c r="C7" s="5">
        <v>60.0</v>
      </c>
      <c r="D7" s="6" t="s">
        <v>91</v>
      </c>
      <c r="E7" s="5" t="str">
        <f t="shared" si="4"/>
        <v>180</v>
      </c>
      <c r="F7" s="5" t="str">
        <f t="shared" si="1"/>
        <v>14240</v>
      </c>
      <c r="G7" s="8" t="str">
        <f t="shared" si="2"/>
        <v>1.2%</v>
      </c>
      <c r="H7" s="5" t="str">
        <f t="shared" si="3"/>
        <v>1.2%</v>
      </c>
    </row>
    <row r="8">
      <c r="A8" s="5">
        <v>4.0</v>
      </c>
      <c r="B8" s="5" t="s">
        <v>216</v>
      </c>
      <c r="C8" s="5">
        <v>60.0</v>
      </c>
      <c r="D8" s="6" t="s">
        <v>217</v>
      </c>
      <c r="E8" s="5" t="str">
        <f t="shared" si="4"/>
        <v>240</v>
      </c>
      <c r="F8" s="5" t="str">
        <f t="shared" si="1"/>
        <v>14180</v>
      </c>
      <c r="G8" s="8" t="str">
        <f t="shared" si="2"/>
        <v>1.7%</v>
      </c>
      <c r="H8" s="5" t="str">
        <f t="shared" si="3"/>
        <v>1.7%</v>
      </c>
    </row>
    <row r="9">
      <c r="A9" s="5">
        <v>5.0</v>
      </c>
      <c r="B9" s="5" t="s">
        <v>218</v>
      </c>
      <c r="C9" s="5">
        <v>60.0</v>
      </c>
      <c r="D9" s="6" t="s">
        <v>91</v>
      </c>
      <c r="E9" s="5" t="str">
        <f t="shared" si="4"/>
        <v>300</v>
      </c>
      <c r="F9" s="5" t="str">
        <f t="shared" si="1"/>
        <v>14120</v>
      </c>
      <c r="G9" s="8" t="str">
        <f t="shared" si="2"/>
        <v>2.1%</v>
      </c>
      <c r="H9" s="5" t="str">
        <f t="shared" si="3"/>
        <v>2.1%</v>
      </c>
    </row>
    <row r="10">
      <c r="A10" s="5">
        <v>6.0</v>
      </c>
      <c r="B10" s="5" t="s">
        <v>219</v>
      </c>
      <c r="C10" s="5">
        <v>60.0</v>
      </c>
      <c r="D10" s="6" t="s">
        <v>91</v>
      </c>
      <c r="E10" s="5" t="str">
        <f t="shared" si="4"/>
        <v>360</v>
      </c>
      <c r="F10" s="5" t="str">
        <f t="shared" si="1"/>
        <v>14060</v>
      </c>
      <c r="G10" s="8" t="str">
        <f t="shared" si="2"/>
        <v>2.5%</v>
      </c>
      <c r="H10" s="5" t="str">
        <f t="shared" si="3"/>
        <v>2.5%</v>
      </c>
    </row>
    <row r="11">
      <c r="A11" s="5">
        <v>7.0</v>
      </c>
      <c r="B11" s="5" t="s">
        <v>220</v>
      </c>
      <c r="C11" s="5">
        <v>60.0</v>
      </c>
      <c r="D11" s="6" t="s">
        <v>91</v>
      </c>
      <c r="E11" s="5" t="str">
        <f t="shared" si="4"/>
        <v>420</v>
      </c>
      <c r="F11" s="5" t="str">
        <f t="shared" si="1"/>
        <v>14000</v>
      </c>
      <c r="G11" s="8" t="str">
        <f t="shared" si="2"/>
        <v>2.9%</v>
      </c>
      <c r="H11" s="5" t="str">
        <f t="shared" si="3"/>
        <v>2.9%</v>
      </c>
    </row>
    <row r="12">
      <c r="A12" s="5">
        <v>8.0</v>
      </c>
      <c r="B12" s="5" t="s">
        <v>77</v>
      </c>
      <c r="C12" s="5">
        <v>650.0</v>
      </c>
      <c r="D12" s="6" t="s">
        <v>221</v>
      </c>
      <c r="E12" s="5" t="str">
        <f t="shared" si="4"/>
        <v>1070</v>
      </c>
      <c r="F12" s="5" t="str">
        <f t="shared" si="1"/>
        <v>13350</v>
      </c>
      <c r="G12" s="8" t="str">
        <f t="shared" si="2"/>
        <v>7.4%</v>
      </c>
      <c r="H12" s="5" t="str">
        <f t="shared" si="3"/>
        <v>7.4%</v>
      </c>
    </row>
    <row r="13">
      <c r="A13" s="5">
        <v>9.0</v>
      </c>
      <c r="B13" s="5" t="s">
        <v>77</v>
      </c>
      <c r="C13" s="5">
        <v>950.0</v>
      </c>
      <c r="D13" s="6" t="s">
        <v>222</v>
      </c>
      <c r="E13" s="5" t="str">
        <f t="shared" si="4"/>
        <v>2020</v>
      </c>
      <c r="F13" s="5" t="str">
        <f t="shared" si="1"/>
        <v>12400</v>
      </c>
      <c r="G13" s="8" t="str">
        <f t="shared" si="2"/>
        <v>14.0%</v>
      </c>
      <c r="H13" s="5" t="str">
        <f t="shared" si="3"/>
        <v>14.0%</v>
      </c>
    </row>
    <row r="14">
      <c r="A14" s="5">
        <v>10.0</v>
      </c>
      <c r="B14" s="5" t="s">
        <v>223</v>
      </c>
      <c r="C14" s="5">
        <v>950.0</v>
      </c>
      <c r="D14" s="6" t="s">
        <v>224</v>
      </c>
      <c r="E14" s="5" t="str">
        <f t="shared" si="4"/>
        <v>2970</v>
      </c>
      <c r="F14" s="5" t="str">
        <f t="shared" si="1"/>
        <v>11450</v>
      </c>
      <c r="G14" s="8" t="str">
        <f t="shared" si="2"/>
        <v>20.6%</v>
      </c>
      <c r="H14" s="5" t="str">
        <f t="shared" si="3"/>
        <v>20.6%</v>
      </c>
    </row>
    <row r="15">
      <c r="A15" s="5">
        <v>11.0</v>
      </c>
      <c r="B15" s="5" t="s">
        <v>223</v>
      </c>
      <c r="C15" s="5">
        <v>950.0</v>
      </c>
      <c r="D15" s="6" t="s">
        <v>225</v>
      </c>
      <c r="E15" s="5" t="str">
        <f t="shared" si="4"/>
        <v>3920</v>
      </c>
      <c r="F15" s="5" t="str">
        <f t="shared" si="1"/>
        <v>10500</v>
      </c>
      <c r="G15" s="8" t="str">
        <f t="shared" si="2"/>
        <v>27.2%</v>
      </c>
      <c r="H15" s="5" t="str">
        <f t="shared" si="3"/>
        <v>27.2%</v>
      </c>
    </row>
    <row r="16">
      <c r="A16" s="5">
        <v>12.0</v>
      </c>
      <c r="B16" s="5" t="s">
        <v>226</v>
      </c>
      <c r="C16" s="5">
        <v>950.0</v>
      </c>
      <c r="D16" s="6" t="s">
        <v>227</v>
      </c>
      <c r="E16" s="5" t="str">
        <f t="shared" si="4"/>
        <v>4870</v>
      </c>
      <c r="F16" s="5" t="str">
        <f t="shared" si="1"/>
        <v>9550</v>
      </c>
      <c r="G16" s="8" t="str">
        <f t="shared" si="2"/>
        <v>33.8%</v>
      </c>
      <c r="H16" s="5" t="str">
        <f t="shared" si="3"/>
        <v>33.8%</v>
      </c>
    </row>
    <row r="17">
      <c r="A17" s="5">
        <v>13.0</v>
      </c>
      <c r="B17" s="5" t="s">
        <v>226</v>
      </c>
      <c r="C17" s="5">
        <v>850.0</v>
      </c>
      <c r="D17" s="6" t="s">
        <v>228</v>
      </c>
      <c r="E17" s="5" t="str">
        <f t="shared" si="4"/>
        <v>5720</v>
      </c>
      <c r="F17" s="5" t="str">
        <f t="shared" si="1"/>
        <v>8700</v>
      </c>
      <c r="G17" s="8" t="str">
        <f t="shared" si="2"/>
        <v>39.7%</v>
      </c>
      <c r="H17" s="5" t="str">
        <f t="shared" si="3"/>
        <v>39.7%</v>
      </c>
    </row>
    <row r="18">
      <c r="A18" s="5">
        <v>14.0</v>
      </c>
      <c r="B18" s="5" t="s">
        <v>226</v>
      </c>
      <c r="C18" s="5">
        <v>850.0</v>
      </c>
      <c r="D18" s="6" t="s">
        <v>229</v>
      </c>
      <c r="E18" s="5" t="str">
        <f t="shared" si="4"/>
        <v>6570</v>
      </c>
      <c r="F18" s="5" t="str">
        <f t="shared" si="1"/>
        <v>7850</v>
      </c>
      <c r="G18" s="8" t="str">
        <f t="shared" si="2"/>
        <v>45.6%</v>
      </c>
      <c r="H18" s="5" t="str">
        <f t="shared" si="3"/>
        <v>45.6%</v>
      </c>
    </row>
    <row r="19">
      <c r="A19" s="5">
        <v>15.0</v>
      </c>
      <c r="B19" s="5" t="s">
        <v>230</v>
      </c>
      <c r="C19" s="5">
        <v>950.0</v>
      </c>
      <c r="D19" s="6" t="s">
        <v>231</v>
      </c>
      <c r="E19" s="5" t="str">
        <f t="shared" si="4"/>
        <v>7520</v>
      </c>
      <c r="F19" s="5" t="str">
        <f t="shared" si="1"/>
        <v>6900</v>
      </c>
      <c r="G19" s="8" t="str">
        <f t="shared" si="2"/>
        <v>52.1%</v>
      </c>
      <c r="H19" s="5" t="str">
        <f t="shared" si="3"/>
        <v>52.1%</v>
      </c>
    </row>
    <row r="20">
      <c r="A20" s="5">
        <v>16.0</v>
      </c>
      <c r="B20" s="5" t="s">
        <v>232</v>
      </c>
      <c r="C20" s="5">
        <v>950.0</v>
      </c>
      <c r="D20" s="6" t="s">
        <v>233</v>
      </c>
      <c r="E20" s="5" t="str">
        <f t="shared" si="4"/>
        <v>8470</v>
      </c>
      <c r="F20" s="5" t="str">
        <f t="shared" si="1"/>
        <v>5950</v>
      </c>
      <c r="G20" s="8" t="str">
        <f t="shared" si="2"/>
        <v>58.7%</v>
      </c>
      <c r="H20" s="5" t="str">
        <f t="shared" si="3"/>
        <v>58.7%</v>
      </c>
    </row>
    <row r="21" ht="15.75" customHeight="1">
      <c r="A21" s="5">
        <v>17.0</v>
      </c>
      <c r="B21" s="5" t="s">
        <v>232</v>
      </c>
      <c r="C21" s="5">
        <v>950.0</v>
      </c>
      <c r="D21" s="6" t="s">
        <v>234</v>
      </c>
      <c r="E21" s="5" t="str">
        <f t="shared" si="4"/>
        <v>9420</v>
      </c>
      <c r="F21" s="5" t="str">
        <f t="shared" si="1"/>
        <v>5000</v>
      </c>
      <c r="G21" s="8" t="str">
        <f t="shared" si="2"/>
        <v>65.3%</v>
      </c>
      <c r="H21" s="5" t="str">
        <f t="shared" si="3"/>
        <v>65.3%</v>
      </c>
    </row>
    <row r="22" ht="15.75" customHeight="1">
      <c r="A22" s="2"/>
      <c r="B22" s="2"/>
      <c r="C22" s="2"/>
      <c r="D22" s="2"/>
      <c r="E22" s="2"/>
      <c r="F22" s="2"/>
      <c r="G22" s="2"/>
      <c r="H22" s="2"/>
    </row>
    <row r="23" ht="15.75" customHeight="1">
      <c r="A23" s="2"/>
      <c r="B23" s="2"/>
      <c r="C23" s="2"/>
      <c r="D23" s="2"/>
      <c r="E23" s="2"/>
      <c r="F23" s="2"/>
      <c r="G23" s="2"/>
      <c r="H23" s="2"/>
    </row>
    <row r="24" ht="15.75" customHeight="1">
      <c r="A24" s="2"/>
      <c r="B24" s="2"/>
      <c r="C24" s="2"/>
      <c r="D24" s="2"/>
      <c r="E24" s="2"/>
      <c r="F24" s="2"/>
      <c r="G24" s="2"/>
      <c r="H24" s="2"/>
    </row>
    <row r="25" ht="15.75" customHeight="1">
      <c r="A25" s="2"/>
      <c r="B25" s="2"/>
      <c r="C25" s="2"/>
      <c r="D25" s="2"/>
      <c r="E25" s="2"/>
      <c r="F25" s="2"/>
      <c r="G25" s="2"/>
      <c r="H25" s="2"/>
    </row>
    <row r="26" ht="15.75" customHeight="1">
      <c r="A26" s="2"/>
      <c r="B26" s="2"/>
      <c r="C26" s="2"/>
      <c r="D26" s="2"/>
      <c r="E26" s="2"/>
      <c r="F26" s="2"/>
      <c r="G26" s="2"/>
      <c r="H26" s="2"/>
    </row>
    <row r="27" ht="15.75" customHeight="1">
      <c r="A27" s="2"/>
      <c r="B27" s="2"/>
      <c r="C27" s="2"/>
      <c r="D27" s="2"/>
      <c r="E27" s="2"/>
      <c r="F27" s="2"/>
      <c r="G27" s="2"/>
      <c r="H27" s="2"/>
    </row>
    <row r="28" ht="15.75" customHeight="1">
      <c r="A28" s="2"/>
      <c r="B28" s="2"/>
      <c r="C28" s="2"/>
      <c r="D28" s="2"/>
      <c r="E28" s="2"/>
      <c r="F28" s="2"/>
      <c r="G28" s="2"/>
      <c r="H28" s="2"/>
    </row>
    <row r="29" ht="15.75" customHeight="1">
      <c r="A29" s="2"/>
      <c r="B29" s="2"/>
      <c r="C29" s="2"/>
      <c r="D29" s="2"/>
      <c r="E29" s="2"/>
      <c r="F29" s="2"/>
      <c r="G29" s="2"/>
      <c r="H29" s="2"/>
    </row>
    <row r="30" ht="15.75" customHeight="1">
      <c r="A30" s="2"/>
      <c r="B30" s="2"/>
      <c r="C30" s="2"/>
      <c r="D30" s="2"/>
      <c r="E30" s="2"/>
      <c r="F30" s="2"/>
      <c r="G30" s="2"/>
      <c r="H30" s="2"/>
    </row>
    <row r="31" ht="15.75" customHeight="1">
      <c r="A31" s="2"/>
      <c r="B31" s="2"/>
      <c r="C31" s="2"/>
      <c r="D31" s="2"/>
      <c r="E31" s="2"/>
      <c r="F31" s="2"/>
      <c r="G31" s="2"/>
      <c r="H31" s="2"/>
    </row>
    <row r="32" ht="15.75" customHeight="1">
      <c r="A32" s="2"/>
      <c r="B32" s="2"/>
      <c r="C32" s="2"/>
      <c r="D32" s="2"/>
      <c r="E32" s="2"/>
      <c r="F32" s="2"/>
      <c r="G32" s="2"/>
      <c r="H32" s="2"/>
    </row>
    <row r="33" ht="15.75" customHeight="1">
      <c r="A33" s="2"/>
      <c r="B33" s="2"/>
      <c r="C33" s="2"/>
      <c r="D33" s="2"/>
      <c r="E33" s="2"/>
      <c r="F33" s="2"/>
      <c r="G33" s="2"/>
      <c r="H33" s="2"/>
    </row>
    <row r="34" ht="15.75" customHeight="1">
      <c r="A34" s="2"/>
      <c r="B34" s="2"/>
      <c r="C34" s="2"/>
      <c r="D34" s="2"/>
      <c r="E34" s="2"/>
      <c r="F34" s="2"/>
      <c r="G34" s="2"/>
      <c r="H34" s="2"/>
    </row>
    <row r="35" ht="15.75" customHeight="1">
      <c r="A35" s="2"/>
      <c r="B35" s="2"/>
      <c r="C35" s="2"/>
      <c r="D35" s="2"/>
      <c r="E35" s="2"/>
      <c r="F35" s="2"/>
      <c r="G35" s="2"/>
      <c r="H35" s="2"/>
    </row>
    <row r="36" ht="15.75" customHeight="1">
      <c r="A36" s="2"/>
      <c r="B36" s="2"/>
      <c r="C36" s="2"/>
      <c r="D36" s="2"/>
      <c r="E36" s="2"/>
      <c r="F36" s="2"/>
      <c r="G36" s="2"/>
      <c r="H36" s="2"/>
    </row>
    <row r="37" ht="15.75" customHeight="1">
      <c r="A37" s="2"/>
      <c r="B37" s="2"/>
      <c r="C37" s="2"/>
      <c r="D37" s="2"/>
      <c r="E37" s="2"/>
      <c r="F37" s="2"/>
      <c r="G37" s="2"/>
      <c r="H37" s="2"/>
    </row>
    <row r="38" ht="15.75" customHeight="1">
      <c r="A38" s="2"/>
      <c r="B38" s="2"/>
      <c r="C38" s="2"/>
      <c r="D38" s="2"/>
      <c r="E38" s="2"/>
      <c r="F38" s="2"/>
      <c r="G38" s="2"/>
      <c r="H38" s="2"/>
    </row>
    <row r="39" ht="15.75" customHeight="1">
      <c r="A39" s="2"/>
      <c r="B39" s="2"/>
      <c r="C39" s="2"/>
      <c r="D39" s="2"/>
      <c r="E39" s="2"/>
      <c r="F39" s="2"/>
      <c r="G39" s="2"/>
      <c r="H39" s="2"/>
    </row>
    <row r="40" ht="15.75" customHeight="1">
      <c r="A40" s="2"/>
      <c r="B40" s="2"/>
      <c r="C40" s="2"/>
      <c r="D40" s="2"/>
      <c r="E40" s="2"/>
      <c r="F40" s="2"/>
      <c r="G40" s="2"/>
      <c r="H40" s="2"/>
    </row>
    <row r="41" ht="15.75" customHeight="1">
      <c r="A41" s="2"/>
      <c r="B41" s="2"/>
      <c r="C41" s="2"/>
      <c r="D41" s="2"/>
      <c r="E41" s="2"/>
      <c r="F41" s="2"/>
      <c r="G41" s="2"/>
      <c r="H41" s="2"/>
    </row>
    <row r="42" ht="15.75" customHeight="1">
      <c r="A42" s="2"/>
      <c r="B42" s="2"/>
      <c r="C42" s="2"/>
      <c r="D42" s="2"/>
      <c r="E42" s="2"/>
      <c r="F42" s="2"/>
      <c r="G42" s="2"/>
      <c r="H42" s="2"/>
    </row>
    <row r="43" ht="15.75" customHeight="1">
      <c r="A43" s="2"/>
      <c r="B43" s="2"/>
      <c r="C43" s="2"/>
      <c r="D43" s="2"/>
      <c r="E43" s="2"/>
      <c r="F43" s="2"/>
      <c r="G43" s="2"/>
      <c r="H43" s="2"/>
    </row>
    <row r="44" ht="15.75" customHeight="1">
      <c r="A44" s="2"/>
      <c r="B44" s="2"/>
      <c r="C44" s="2"/>
      <c r="D44" s="2"/>
      <c r="E44" s="2"/>
      <c r="F44" s="2"/>
      <c r="G44" s="2"/>
      <c r="H44" s="2"/>
    </row>
    <row r="45" ht="15.75" customHeight="1">
      <c r="A45" s="2"/>
      <c r="B45" s="2"/>
      <c r="C45" s="2"/>
      <c r="D45" s="2"/>
      <c r="E45" s="2"/>
      <c r="F45" s="2"/>
      <c r="G45" s="2"/>
      <c r="H45" s="2"/>
    </row>
    <row r="46" ht="15.75" customHeight="1">
      <c r="A46" s="2"/>
      <c r="B46" s="2"/>
      <c r="C46" s="2"/>
      <c r="D46" s="2"/>
      <c r="E46" s="2"/>
      <c r="F46" s="2"/>
      <c r="G46" s="2"/>
      <c r="H46" s="2"/>
    </row>
    <row r="47" ht="15.75" customHeight="1">
      <c r="A47" s="2"/>
      <c r="B47" s="2"/>
      <c r="C47" s="2"/>
      <c r="D47" s="2"/>
      <c r="E47" s="2"/>
      <c r="F47" s="2"/>
      <c r="G47" s="2"/>
      <c r="H47" s="2"/>
    </row>
    <row r="48" ht="15.75" customHeight="1">
      <c r="A48" s="2"/>
      <c r="B48" s="2"/>
      <c r="C48" s="2"/>
      <c r="D48" s="2"/>
      <c r="E48" s="2"/>
      <c r="F48" s="2"/>
      <c r="G48" s="2"/>
      <c r="H48" s="2"/>
    </row>
    <row r="49" ht="15.75" customHeight="1">
      <c r="A49" s="2"/>
      <c r="B49" s="2"/>
      <c r="C49" s="2"/>
      <c r="D49" s="2"/>
      <c r="E49" s="2"/>
      <c r="F49" s="2"/>
      <c r="G49" s="2"/>
      <c r="H49" s="2"/>
    </row>
    <row r="50" ht="15.75" customHeight="1">
      <c r="A50" s="2"/>
      <c r="B50" s="2"/>
      <c r="C50" s="2"/>
      <c r="D50" s="2"/>
      <c r="E50" s="2"/>
      <c r="F50" s="2"/>
      <c r="G50" s="2"/>
      <c r="H50" s="2"/>
    </row>
    <row r="51" ht="15.75" customHeight="1">
      <c r="A51" s="2"/>
      <c r="B51" s="2"/>
      <c r="C51" s="2"/>
      <c r="D51" s="2"/>
      <c r="E51" s="2"/>
      <c r="F51" s="2"/>
      <c r="G51" s="2"/>
      <c r="H51" s="2"/>
    </row>
    <row r="52" ht="15.75" customHeight="1">
      <c r="A52" s="2"/>
      <c r="B52" s="2"/>
      <c r="C52" s="2"/>
      <c r="D52" s="2"/>
      <c r="E52" s="2"/>
      <c r="F52" s="2"/>
      <c r="G52" s="2"/>
      <c r="H52" s="2"/>
    </row>
    <row r="53" ht="15.75" customHeight="1">
      <c r="A53" s="2"/>
      <c r="B53" s="2"/>
      <c r="C53" s="2"/>
      <c r="D53" s="2"/>
      <c r="E53" s="2"/>
      <c r="F53" s="2"/>
      <c r="G53" s="2"/>
      <c r="H53" s="2"/>
    </row>
    <row r="54" ht="15.75" customHeight="1">
      <c r="A54" s="2"/>
      <c r="B54" s="2"/>
      <c r="C54" s="2"/>
      <c r="D54" s="2"/>
      <c r="E54" s="2"/>
      <c r="F54" s="2"/>
      <c r="G54" s="2"/>
      <c r="H54" s="2"/>
    </row>
    <row r="55" ht="15.75" customHeight="1">
      <c r="A55" s="2"/>
      <c r="B55" s="2"/>
      <c r="C55" s="2"/>
      <c r="D55" s="2"/>
      <c r="E55" s="2"/>
      <c r="F55" s="2"/>
      <c r="G55" s="2"/>
      <c r="H55" s="2"/>
    </row>
    <row r="56" ht="15.75" customHeight="1">
      <c r="A56" s="2"/>
      <c r="B56" s="2"/>
      <c r="C56" s="2"/>
      <c r="D56" s="2"/>
      <c r="E56" s="2"/>
      <c r="F56" s="2"/>
      <c r="G56" s="2"/>
      <c r="H56" s="2"/>
    </row>
    <row r="57" ht="15.75" customHeight="1">
      <c r="A57" s="2"/>
      <c r="B57" s="2"/>
      <c r="C57" s="2"/>
      <c r="D57" s="2"/>
      <c r="E57" s="2"/>
      <c r="F57" s="2"/>
      <c r="G57" s="2"/>
      <c r="H57" s="2"/>
    </row>
    <row r="58" ht="15.75" customHeight="1">
      <c r="A58" s="2"/>
      <c r="B58" s="2"/>
      <c r="C58" s="2"/>
      <c r="D58" s="2"/>
      <c r="E58" s="2"/>
      <c r="F58" s="2"/>
      <c r="G58" s="2"/>
      <c r="H58" s="2"/>
    </row>
    <row r="59" ht="15.75" customHeight="1">
      <c r="A59" s="2"/>
      <c r="B59" s="2"/>
      <c r="C59" s="2"/>
      <c r="D59" s="2"/>
      <c r="E59" s="2"/>
      <c r="F59" s="2"/>
      <c r="G59" s="2"/>
      <c r="H59" s="2"/>
    </row>
    <row r="60" ht="15.75" customHeight="1">
      <c r="A60" s="2"/>
      <c r="B60" s="2"/>
      <c r="C60" s="2"/>
      <c r="D60" s="2"/>
      <c r="E60" s="2"/>
      <c r="F60" s="2"/>
      <c r="G60" s="2"/>
      <c r="H60" s="2"/>
    </row>
    <row r="61" ht="15.75" customHeight="1">
      <c r="A61" s="2"/>
      <c r="B61" s="2"/>
      <c r="C61" s="2"/>
      <c r="D61" s="2"/>
      <c r="E61" s="2"/>
      <c r="F61" s="2"/>
      <c r="G61" s="2"/>
      <c r="H61" s="2"/>
    </row>
    <row r="62" ht="15.75" customHeight="1">
      <c r="A62" s="2"/>
      <c r="B62" s="2"/>
      <c r="C62" s="2"/>
      <c r="D62" s="2"/>
      <c r="E62" s="2"/>
      <c r="F62" s="2"/>
      <c r="G62" s="2"/>
      <c r="H62" s="2"/>
    </row>
    <row r="63" ht="15.75" customHeight="1">
      <c r="A63" s="2"/>
      <c r="B63" s="2"/>
      <c r="C63" s="2"/>
      <c r="D63" s="2"/>
      <c r="E63" s="2"/>
      <c r="F63" s="2"/>
      <c r="G63" s="2"/>
      <c r="H63" s="2"/>
    </row>
    <row r="64" ht="15.75" customHeight="1">
      <c r="A64" s="2"/>
      <c r="B64" s="2"/>
      <c r="C64" s="2"/>
      <c r="D64" s="2"/>
      <c r="E64" s="2"/>
      <c r="F64" s="2"/>
      <c r="G64" s="2"/>
      <c r="H64" s="2"/>
    </row>
    <row r="65" ht="15.75" customHeight="1">
      <c r="A65" s="2"/>
      <c r="B65" s="2"/>
      <c r="C65" s="2"/>
      <c r="D65" s="2"/>
      <c r="E65" s="2"/>
      <c r="F65" s="2"/>
      <c r="G65" s="2"/>
      <c r="H65" s="2"/>
    </row>
    <row r="66" ht="15.75" customHeight="1">
      <c r="A66" s="2"/>
      <c r="B66" s="2"/>
      <c r="C66" s="2"/>
      <c r="D66" s="2"/>
      <c r="E66" s="2"/>
      <c r="F66" s="2"/>
      <c r="G66" s="2"/>
      <c r="H66" s="2"/>
    </row>
    <row r="67" ht="15.75" customHeight="1">
      <c r="A67" s="2"/>
      <c r="B67" s="2"/>
      <c r="C67" s="2"/>
      <c r="D67" s="2"/>
      <c r="E67" s="2"/>
      <c r="F67" s="2"/>
      <c r="G67" s="2"/>
      <c r="H67" s="2"/>
    </row>
    <row r="68" ht="15.75" customHeight="1">
      <c r="A68" s="2"/>
      <c r="B68" s="2"/>
      <c r="C68" s="2"/>
      <c r="D68" s="2"/>
      <c r="E68" s="2"/>
      <c r="F68" s="2"/>
      <c r="G68" s="2"/>
      <c r="H68" s="2"/>
    </row>
    <row r="69" ht="15.75" customHeight="1">
      <c r="A69" s="2"/>
      <c r="B69" s="2"/>
      <c r="C69" s="2"/>
      <c r="D69" s="2"/>
      <c r="E69" s="2"/>
      <c r="F69" s="2"/>
      <c r="G69" s="2"/>
      <c r="H69" s="2"/>
    </row>
    <row r="70" ht="15.75" customHeight="1">
      <c r="A70" s="2"/>
      <c r="B70" s="2"/>
      <c r="C70" s="2"/>
      <c r="D70" s="2"/>
      <c r="E70" s="2"/>
      <c r="F70" s="2"/>
      <c r="G70" s="2"/>
      <c r="H70" s="2"/>
    </row>
    <row r="71" ht="15.75" customHeight="1">
      <c r="A71" s="2"/>
      <c r="B71" s="2"/>
      <c r="C71" s="2"/>
      <c r="D71" s="2"/>
      <c r="E71" s="2"/>
      <c r="F71" s="2"/>
      <c r="G71" s="2"/>
      <c r="H71" s="2"/>
    </row>
    <row r="72" ht="15.75" customHeight="1">
      <c r="A72" s="2"/>
      <c r="B72" s="2"/>
      <c r="C72" s="2"/>
      <c r="D72" s="2"/>
      <c r="E72" s="2"/>
      <c r="F72" s="2"/>
      <c r="G72" s="2"/>
      <c r="H72" s="2"/>
    </row>
    <row r="73" ht="15.75" customHeight="1">
      <c r="A73" s="2"/>
      <c r="B73" s="2"/>
      <c r="C73" s="2"/>
      <c r="D73" s="2"/>
      <c r="E73" s="2"/>
      <c r="F73" s="2"/>
      <c r="G73" s="2"/>
      <c r="H73" s="2"/>
    </row>
    <row r="74" ht="15.75" customHeight="1">
      <c r="A74" s="2"/>
      <c r="B74" s="2"/>
      <c r="C74" s="2"/>
      <c r="D74" s="2"/>
      <c r="E74" s="2"/>
      <c r="F74" s="2"/>
      <c r="G74" s="2"/>
      <c r="H74" s="2"/>
    </row>
    <row r="75" ht="15.75" customHeight="1">
      <c r="A75" s="2"/>
      <c r="B75" s="2"/>
      <c r="C75" s="2"/>
      <c r="D75" s="2"/>
      <c r="E75" s="2"/>
      <c r="F75" s="2"/>
      <c r="G75" s="2"/>
      <c r="H75" s="2"/>
    </row>
    <row r="76" ht="15.75" customHeight="1">
      <c r="A76" s="2"/>
      <c r="B76" s="2"/>
      <c r="C76" s="2"/>
      <c r="D76" s="2"/>
      <c r="E76" s="2"/>
      <c r="F76" s="2"/>
      <c r="G76" s="2"/>
      <c r="H76" s="2"/>
    </row>
    <row r="77" ht="15.75" customHeight="1">
      <c r="A77" s="2"/>
      <c r="B77" s="2"/>
      <c r="C77" s="2"/>
      <c r="D77" s="2"/>
      <c r="E77" s="2"/>
      <c r="F77" s="2"/>
      <c r="G77" s="2"/>
      <c r="H77" s="2"/>
    </row>
    <row r="78" ht="15.75" customHeight="1">
      <c r="A78" s="2"/>
      <c r="B78" s="2"/>
      <c r="C78" s="2"/>
      <c r="D78" s="2"/>
      <c r="E78" s="2"/>
      <c r="F78" s="2"/>
      <c r="G78" s="2"/>
      <c r="H78" s="2"/>
    </row>
    <row r="79" ht="15.75" customHeight="1">
      <c r="A79" s="2"/>
      <c r="B79" s="2"/>
      <c r="C79" s="2"/>
      <c r="D79" s="2"/>
      <c r="E79" s="2"/>
      <c r="F79" s="2"/>
      <c r="G79" s="2"/>
      <c r="H79" s="2"/>
    </row>
    <row r="80" ht="15.75" customHeight="1">
      <c r="A80" s="2"/>
      <c r="B80" s="2"/>
      <c r="C80" s="2"/>
      <c r="D80" s="2"/>
      <c r="E80" s="2"/>
      <c r="F80" s="2"/>
      <c r="G80" s="2"/>
      <c r="H80" s="2"/>
    </row>
    <row r="81" ht="15.75" customHeight="1">
      <c r="A81" s="2"/>
      <c r="B81" s="2"/>
      <c r="C81" s="2"/>
      <c r="D81" s="2"/>
      <c r="E81" s="2"/>
      <c r="F81" s="2"/>
      <c r="G81" s="2"/>
      <c r="H81" s="2"/>
    </row>
    <row r="82" ht="15.75" customHeight="1">
      <c r="A82" s="2"/>
      <c r="B82" s="2"/>
      <c r="C82" s="2"/>
      <c r="D82" s="2"/>
      <c r="E82" s="2"/>
      <c r="F82" s="2"/>
      <c r="G82" s="2"/>
      <c r="H82" s="2"/>
    </row>
    <row r="83" ht="15.75" customHeight="1">
      <c r="A83" s="2"/>
      <c r="B83" s="2"/>
      <c r="C83" s="2"/>
      <c r="D83" s="2"/>
      <c r="E83" s="2"/>
      <c r="F83" s="2"/>
      <c r="G83" s="2"/>
      <c r="H83" s="2"/>
    </row>
    <row r="84" ht="15.75" customHeight="1">
      <c r="A84" s="2"/>
      <c r="B84" s="2"/>
      <c r="C84" s="2"/>
      <c r="D84" s="2"/>
      <c r="E84" s="2"/>
      <c r="F84" s="2"/>
      <c r="G84" s="2"/>
      <c r="H84" s="2"/>
    </row>
    <row r="85" ht="15.75" customHeight="1">
      <c r="A85" s="2"/>
      <c r="B85" s="2"/>
      <c r="C85" s="2"/>
      <c r="D85" s="2"/>
      <c r="E85" s="2"/>
      <c r="F85" s="2"/>
      <c r="G85" s="2"/>
      <c r="H85" s="2"/>
    </row>
    <row r="86" ht="15.75" customHeight="1">
      <c r="A86" s="2"/>
      <c r="B86" s="2"/>
      <c r="C86" s="2"/>
      <c r="D86" s="2"/>
      <c r="E86" s="2"/>
      <c r="F86" s="2"/>
      <c r="G86" s="2"/>
      <c r="H86" s="2"/>
    </row>
    <row r="87" ht="15.75" customHeight="1">
      <c r="A87" s="2"/>
      <c r="B87" s="2"/>
      <c r="C87" s="2"/>
      <c r="D87" s="2"/>
      <c r="E87" s="2"/>
      <c r="F87" s="2"/>
      <c r="G87" s="2"/>
      <c r="H87" s="2"/>
    </row>
    <row r="88" ht="15.75" customHeight="1">
      <c r="A88" s="2"/>
      <c r="B88" s="2"/>
      <c r="C88" s="2"/>
      <c r="D88" s="2"/>
      <c r="E88" s="2"/>
      <c r="F88" s="2"/>
      <c r="G88" s="2"/>
      <c r="H88" s="2"/>
    </row>
    <row r="89" ht="15.75" customHeight="1">
      <c r="A89" s="2"/>
      <c r="B89" s="2"/>
      <c r="C89" s="2"/>
      <c r="D89" s="2"/>
      <c r="E89" s="2"/>
      <c r="F89" s="2"/>
      <c r="G89" s="2"/>
      <c r="H89" s="2"/>
    </row>
    <row r="90" ht="15.75" customHeight="1">
      <c r="A90" s="2"/>
      <c r="B90" s="2"/>
      <c r="C90" s="2"/>
      <c r="D90" s="2"/>
      <c r="E90" s="2"/>
      <c r="F90" s="2"/>
      <c r="G90" s="2"/>
      <c r="H90" s="2"/>
    </row>
    <row r="91" ht="15.75" customHeight="1">
      <c r="A91" s="2"/>
      <c r="B91" s="2"/>
      <c r="C91" s="2"/>
      <c r="D91" s="2"/>
      <c r="E91" s="2"/>
      <c r="F91" s="2"/>
      <c r="G91" s="2"/>
      <c r="H91" s="2"/>
    </row>
    <row r="92" ht="15.75" customHeight="1">
      <c r="A92" s="2"/>
      <c r="B92" s="2"/>
      <c r="C92" s="2"/>
      <c r="D92" s="2"/>
      <c r="E92" s="2"/>
      <c r="F92" s="2"/>
      <c r="G92" s="2"/>
      <c r="H92" s="2"/>
    </row>
    <row r="93" ht="15.75" customHeight="1">
      <c r="A93" s="2"/>
      <c r="B93" s="2"/>
      <c r="C93" s="2"/>
      <c r="D93" s="2"/>
      <c r="E93" s="2"/>
      <c r="F93" s="2"/>
      <c r="G93" s="2"/>
      <c r="H93" s="2"/>
    </row>
    <row r="94" ht="15.75" customHeight="1">
      <c r="A94" s="2"/>
      <c r="B94" s="2"/>
      <c r="C94" s="2"/>
      <c r="D94" s="2"/>
      <c r="E94" s="2"/>
      <c r="F94" s="2"/>
      <c r="G94" s="2"/>
      <c r="H94" s="2"/>
    </row>
    <row r="95" ht="15.75" customHeight="1">
      <c r="A95" s="2"/>
      <c r="B95" s="2"/>
      <c r="C95" s="2"/>
      <c r="D95" s="2"/>
      <c r="E95" s="2"/>
      <c r="F95" s="2"/>
      <c r="G95" s="2"/>
      <c r="H95" s="2"/>
    </row>
    <row r="96" ht="15.75" customHeight="1">
      <c r="A96" s="2"/>
      <c r="B96" s="2"/>
      <c r="C96" s="2"/>
      <c r="D96" s="2"/>
      <c r="E96" s="2"/>
      <c r="F96" s="2"/>
      <c r="G96" s="2"/>
      <c r="H96" s="2"/>
    </row>
    <row r="97" ht="15.75" customHeight="1">
      <c r="A97" s="2"/>
      <c r="B97" s="2"/>
      <c r="C97" s="2"/>
      <c r="D97" s="2"/>
      <c r="E97" s="2"/>
      <c r="F97" s="2"/>
      <c r="G97" s="2"/>
      <c r="H97" s="2"/>
    </row>
    <row r="98" ht="15.75" customHeight="1">
      <c r="A98" s="2"/>
      <c r="B98" s="2"/>
      <c r="C98" s="2"/>
      <c r="D98" s="2"/>
      <c r="E98" s="2"/>
      <c r="F98" s="2"/>
      <c r="G98" s="2"/>
      <c r="H98" s="2"/>
    </row>
    <row r="99" ht="15.75" customHeight="1">
      <c r="A99" s="2"/>
      <c r="B99" s="2"/>
      <c r="C99" s="2"/>
      <c r="D99" s="2"/>
      <c r="E99" s="2"/>
      <c r="F99" s="2"/>
      <c r="G99" s="2"/>
      <c r="H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</row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4.0"/>
    <col customWidth="1" min="3" max="3" width="22.0"/>
    <col customWidth="1" min="4" max="4" width="30.0"/>
    <col customWidth="1" min="5" max="5" width="18.0"/>
    <col customWidth="1" min="6" max="6" width="13.0"/>
    <col customWidth="1" min="7" max="7" width="20.0"/>
    <col customWidth="1" min="8" max="8" width="24.0"/>
  </cols>
  <sheetData>
    <row r="1">
      <c r="A1" s="18" t="s">
        <v>235</v>
      </c>
      <c r="B1" s="2"/>
      <c r="C1" s="2"/>
      <c r="D1" s="2"/>
      <c r="E1" s="2"/>
      <c r="F1" s="2"/>
      <c r="G1" s="2"/>
      <c r="H1" s="2"/>
    </row>
    <row r="2">
      <c r="A2" s="19" t="s">
        <v>236</v>
      </c>
      <c r="B2" s="2"/>
      <c r="C2" s="2"/>
      <c r="D2" s="2"/>
      <c r="E2" s="2"/>
      <c r="F2" s="2"/>
      <c r="G2" s="2"/>
      <c r="H2" s="2"/>
    </row>
    <row r="3">
      <c r="A3" s="2"/>
      <c r="B3" s="2"/>
      <c r="C3" s="2"/>
      <c r="D3" s="2"/>
      <c r="E3" s="2"/>
      <c r="F3" s="2"/>
      <c r="G3" s="2"/>
      <c r="H3" s="2"/>
    </row>
    <row r="4">
      <c r="A4" s="20" t="s">
        <v>81</v>
      </c>
      <c r="B4" s="20" t="s">
        <v>82</v>
      </c>
      <c r="C4" s="20" t="s">
        <v>83</v>
      </c>
      <c r="D4" s="20" t="s">
        <v>84</v>
      </c>
      <c r="E4" s="20" t="s">
        <v>85</v>
      </c>
      <c r="F4" s="20" t="s">
        <v>86</v>
      </c>
      <c r="G4" s="20" t="s">
        <v>87</v>
      </c>
      <c r="H4" s="20" t="s">
        <v>9</v>
      </c>
    </row>
    <row r="5">
      <c r="A5" s="5">
        <v>1.0</v>
      </c>
      <c r="B5" s="5" t="s">
        <v>33</v>
      </c>
      <c r="C5" s="5">
        <v>60.0</v>
      </c>
      <c r="D5" s="6" t="s">
        <v>198</v>
      </c>
      <c r="E5" s="5" t="str">
        <f>C5</f>
        <v>60</v>
      </c>
      <c r="F5" s="5" t="str">
        <f t="shared" ref="F5:F32" si="1">2400-E5</f>
        <v>2340</v>
      </c>
      <c r="G5" s="8" t="str">
        <f t="shared" ref="G5:G32" si="2">E5/2400</f>
        <v>2.5%</v>
      </c>
      <c r="H5" s="5" t="str">
        <f t="shared" ref="H5:H32" si="3">IF(G5&gt;=1, "100.0% (Package Over)", TEXT(MIN(G5*100, 99.9), "0.0") &amp; "%")</f>
        <v>2.5%</v>
      </c>
    </row>
    <row r="6">
      <c r="A6" s="5">
        <v>2.0</v>
      </c>
      <c r="B6" s="5" t="s">
        <v>215</v>
      </c>
      <c r="C6" s="5">
        <v>90.0</v>
      </c>
      <c r="D6" s="6" t="s">
        <v>198</v>
      </c>
      <c r="E6" s="5" t="str">
        <f t="shared" ref="E6:E32" si="4">E5+C6</f>
        <v>150</v>
      </c>
      <c r="F6" s="5" t="str">
        <f t="shared" si="1"/>
        <v>2250</v>
      </c>
      <c r="G6" s="8" t="str">
        <f t="shared" si="2"/>
        <v>6.3%</v>
      </c>
      <c r="H6" s="5" t="str">
        <f t="shared" si="3"/>
        <v>6.3%</v>
      </c>
    </row>
    <row r="7">
      <c r="A7" s="5">
        <v>3.0</v>
      </c>
      <c r="B7" s="5" t="s">
        <v>237</v>
      </c>
      <c r="C7" s="5">
        <v>90.0</v>
      </c>
      <c r="D7" s="6" t="s">
        <v>117</v>
      </c>
      <c r="E7" s="5" t="str">
        <f t="shared" si="4"/>
        <v>240</v>
      </c>
      <c r="F7" s="5" t="str">
        <f t="shared" si="1"/>
        <v>2160</v>
      </c>
      <c r="G7" s="8" t="str">
        <f t="shared" si="2"/>
        <v>10.0%</v>
      </c>
      <c r="H7" s="5" t="str">
        <f t="shared" si="3"/>
        <v>10.0%</v>
      </c>
    </row>
    <row r="8">
      <c r="A8" s="5">
        <v>4.0</v>
      </c>
      <c r="B8" s="5" t="s">
        <v>238</v>
      </c>
      <c r="C8" s="5">
        <v>90.0</v>
      </c>
      <c r="D8" s="6" t="s">
        <v>91</v>
      </c>
      <c r="E8" s="5" t="str">
        <f t="shared" si="4"/>
        <v>330</v>
      </c>
      <c r="F8" s="5" t="str">
        <f t="shared" si="1"/>
        <v>2070</v>
      </c>
      <c r="G8" s="8" t="str">
        <f t="shared" si="2"/>
        <v>13.8%</v>
      </c>
      <c r="H8" s="5" t="str">
        <f t="shared" si="3"/>
        <v>13.8%</v>
      </c>
    </row>
    <row r="9">
      <c r="A9" s="5">
        <v>5.0</v>
      </c>
      <c r="B9" s="5" t="s">
        <v>209</v>
      </c>
      <c r="C9" s="5">
        <v>90.0</v>
      </c>
      <c r="D9" s="6" t="s">
        <v>119</v>
      </c>
      <c r="E9" s="5" t="str">
        <f t="shared" si="4"/>
        <v>420</v>
      </c>
      <c r="F9" s="5" t="str">
        <f t="shared" si="1"/>
        <v>1980</v>
      </c>
      <c r="G9" s="8" t="str">
        <f t="shared" si="2"/>
        <v>17.5%</v>
      </c>
      <c r="H9" s="5" t="str">
        <f t="shared" si="3"/>
        <v>17.5%</v>
      </c>
    </row>
    <row r="10">
      <c r="A10" s="5">
        <v>6.0</v>
      </c>
      <c r="B10" s="5" t="s">
        <v>118</v>
      </c>
      <c r="C10" s="5">
        <v>60.0</v>
      </c>
      <c r="D10" s="6" t="s">
        <v>119</v>
      </c>
      <c r="E10" s="5" t="str">
        <f t="shared" si="4"/>
        <v>480</v>
      </c>
      <c r="F10" s="5" t="str">
        <f t="shared" si="1"/>
        <v>1920</v>
      </c>
      <c r="G10" s="8" t="str">
        <f t="shared" si="2"/>
        <v>20.0%</v>
      </c>
      <c r="H10" s="5" t="str">
        <f t="shared" si="3"/>
        <v>20.0%</v>
      </c>
    </row>
    <row r="11">
      <c r="A11" s="5">
        <v>7.0</v>
      </c>
      <c r="B11" s="5" t="s">
        <v>239</v>
      </c>
      <c r="C11" s="5">
        <v>90.0</v>
      </c>
      <c r="D11" s="6" t="s">
        <v>119</v>
      </c>
      <c r="E11" s="5" t="str">
        <f t="shared" si="4"/>
        <v>570</v>
      </c>
      <c r="F11" s="5" t="str">
        <f t="shared" si="1"/>
        <v>1830</v>
      </c>
      <c r="G11" s="8" t="str">
        <f t="shared" si="2"/>
        <v>23.8%</v>
      </c>
      <c r="H11" s="5" t="str">
        <f t="shared" si="3"/>
        <v>23.8%</v>
      </c>
    </row>
    <row r="12">
      <c r="A12" s="5">
        <v>8.0</v>
      </c>
      <c r="B12" s="5" t="s">
        <v>240</v>
      </c>
      <c r="C12" s="5">
        <v>30.0</v>
      </c>
      <c r="D12" s="6" t="s">
        <v>241</v>
      </c>
      <c r="E12" s="5" t="str">
        <f t="shared" si="4"/>
        <v>600</v>
      </c>
      <c r="F12" s="5" t="str">
        <f t="shared" si="1"/>
        <v>1800</v>
      </c>
      <c r="G12" s="8" t="str">
        <f t="shared" si="2"/>
        <v>25.0%</v>
      </c>
      <c r="H12" s="5" t="str">
        <f t="shared" si="3"/>
        <v>25.0%</v>
      </c>
    </row>
    <row r="13">
      <c r="A13" s="5">
        <v>9.0</v>
      </c>
      <c r="B13" s="5" t="s">
        <v>240</v>
      </c>
      <c r="C13" s="5">
        <v>60.0</v>
      </c>
      <c r="D13" s="6" t="s">
        <v>242</v>
      </c>
      <c r="E13" s="5" t="str">
        <f t="shared" si="4"/>
        <v>660</v>
      </c>
      <c r="F13" s="5" t="str">
        <f t="shared" si="1"/>
        <v>1740</v>
      </c>
      <c r="G13" s="8" t="str">
        <f t="shared" si="2"/>
        <v>27.5%</v>
      </c>
      <c r="H13" s="5" t="str">
        <f t="shared" si="3"/>
        <v>27.5%</v>
      </c>
    </row>
    <row r="14">
      <c r="A14" s="5">
        <v>10.0</v>
      </c>
      <c r="B14" s="5" t="s">
        <v>47</v>
      </c>
      <c r="C14" s="5">
        <v>60.0</v>
      </c>
      <c r="D14" s="6" t="s">
        <v>119</v>
      </c>
      <c r="E14" s="5" t="str">
        <f t="shared" si="4"/>
        <v>720</v>
      </c>
      <c r="F14" s="5" t="str">
        <f t="shared" si="1"/>
        <v>1680</v>
      </c>
      <c r="G14" s="8" t="str">
        <f t="shared" si="2"/>
        <v>30.0%</v>
      </c>
      <c r="H14" s="5" t="str">
        <f t="shared" si="3"/>
        <v>30.0%</v>
      </c>
    </row>
    <row r="15">
      <c r="A15" s="5">
        <v>11.0</v>
      </c>
      <c r="B15" s="5" t="s">
        <v>243</v>
      </c>
      <c r="C15" s="5">
        <v>60.0</v>
      </c>
      <c r="D15" s="6" t="s">
        <v>91</v>
      </c>
      <c r="E15" s="5" t="str">
        <f t="shared" si="4"/>
        <v>780</v>
      </c>
      <c r="F15" s="5" t="str">
        <f t="shared" si="1"/>
        <v>1620</v>
      </c>
      <c r="G15" s="8" t="str">
        <f t="shared" si="2"/>
        <v>32.5%</v>
      </c>
      <c r="H15" s="5" t="str">
        <f t="shared" si="3"/>
        <v>32.5%</v>
      </c>
    </row>
    <row r="16">
      <c r="A16" s="5">
        <v>12.0</v>
      </c>
      <c r="B16" s="5" t="s">
        <v>244</v>
      </c>
      <c r="C16" s="5">
        <v>60.0</v>
      </c>
      <c r="D16" s="6" t="s">
        <v>95</v>
      </c>
      <c r="E16" s="5" t="str">
        <f t="shared" si="4"/>
        <v>840</v>
      </c>
      <c r="F16" s="5" t="str">
        <f t="shared" si="1"/>
        <v>1560</v>
      </c>
      <c r="G16" s="8" t="str">
        <f t="shared" si="2"/>
        <v>35.0%</v>
      </c>
      <c r="H16" s="5" t="str">
        <f t="shared" si="3"/>
        <v>35.0%</v>
      </c>
    </row>
    <row r="17">
      <c r="A17" s="5">
        <v>13.0</v>
      </c>
      <c r="B17" s="5" t="s">
        <v>125</v>
      </c>
      <c r="C17" s="5">
        <v>90.0</v>
      </c>
      <c r="D17" s="6" t="s">
        <v>95</v>
      </c>
      <c r="E17" s="5" t="str">
        <f t="shared" si="4"/>
        <v>930</v>
      </c>
      <c r="F17" s="5" t="str">
        <f t="shared" si="1"/>
        <v>1470</v>
      </c>
      <c r="G17" s="8" t="str">
        <f t="shared" si="2"/>
        <v>38.8%</v>
      </c>
      <c r="H17" s="5" t="str">
        <f t="shared" si="3"/>
        <v>38.8%</v>
      </c>
    </row>
    <row r="18">
      <c r="A18" s="5">
        <v>14.0</v>
      </c>
      <c r="B18" s="5" t="s">
        <v>245</v>
      </c>
      <c r="C18" s="5">
        <v>60.0</v>
      </c>
      <c r="D18" s="6" t="s">
        <v>93</v>
      </c>
      <c r="E18" s="5" t="str">
        <f t="shared" si="4"/>
        <v>990</v>
      </c>
      <c r="F18" s="5" t="str">
        <f t="shared" si="1"/>
        <v>1410</v>
      </c>
      <c r="G18" s="8" t="str">
        <f t="shared" si="2"/>
        <v>41.3%</v>
      </c>
      <c r="H18" s="5" t="str">
        <f t="shared" si="3"/>
        <v>41.3%</v>
      </c>
    </row>
    <row r="19">
      <c r="A19" s="5">
        <v>15.0</v>
      </c>
      <c r="B19" s="5" t="s">
        <v>246</v>
      </c>
      <c r="C19" s="5">
        <v>90.0</v>
      </c>
      <c r="D19" s="6" t="s">
        <v>93</v>
      </c>
      <c r="E19" s="5" t="str">
        <f t="shared" si="4"/>
        <v>1080</v>
      </c>
      <c r="F19" s="5" t="str">
        <f t="shared" si="1"/>
        <v>1320</v>
      </c>
      <c r="G19" s="8" t="str">
        <f t="shared" si="2"/>
        <v>45.0%</v>
      </c>
      <c r="H19" s="5" t="str">
        <f t="shared" si="3"/>
        <v>45.0%</v>
      </c>
    </row>
    <row r="20">
      <c r="A20" s="5">
        <v>16.0</v>
      </c>
      <c r="B20" s="5" t="s">
        <v>247</v>
      </c>
      <c r="C20" s="5">
        <v>90.0</v>
      </c>
      <c r="D20" s="6" t="s">
        <v>95</v>
      </c>
      <c r="E20" s="5" t="str">
        <f t="shared" si="4"/>
        <v>1170</v>
      </c>
      <c r="F20" s="5" t="str">
        <f t="shared" si="1"/>
        <v>1230</v>
      </c>
      <c r="G20" s="8" t="str">
        <f t="shared" si="2"/>
        <v>48.8%</v>
      </c>
      <c r="H20" s="5" t="str">
        <f t="shared" si="3"/>
        <v>48.8%</v>
      </c>
    </row>
    <row r="21" ht="15.75" customHeight="1">
      <c r="A21" s="5">
        <v>17.0</v>
      </c>
      <c r="B21" s="5" t="s">
        <v>248</v>
      </c>
      <c r="C21" s="5">
        <v>30.0</v>
      </c>
      <c r="D21" s="6" t="s">
        <v>93</v>
      </c>
      <c r="E21" s="5" t="str">
        <f t="shared" si="4"/>
        <v>1200</v>
      </c>
      <c r="F21" s="5" t="str">
        <f t="shared" si="1"/>
        <v>1200</v>
      </c>
      <c r="G21" s="8" t="str">
        <f t="shared" si="2"/>
        <v>50.0%</v>
      </c>
      <c r="H21" s="5" t="str">
        <f t="shared" si="3"/>
        <v>50.0%</v>
      </c>
    </row>
    <row r="22" ht="15.75" customHeight="1">
      <c r="A22" s="5">
        <v>18.0</v>
      </c>
      <c r="B22" s="5" t="s">
        <v>248</v>
      </c>
      <c r="C22" s="5">
        <v>60.0</v>
      </c>
      <c r="D22" s="6" t="s">
        <v>249</v>
      </c>
      <c r="E22" s="5" t="str">
        <f t="shared" si="4"/>
        <v>1260</v>
      </c>
      <c r="F22" s="5" t="str">
        <f t="shared" si="1"/>
        <v>1140</v>
      </c>
      <c r="G22" s="8" t="str">
        <f t="shared" si="2"/>
        <v>52.5%</v>
      </c>
      <c r="H22" s="5" t="str">
        <f t="shared" si="3"/>
        <v>52.5%</v>
      </c>
    </row>
    <row r="23" ht="15.75" customHeight="1">
      <c r="A23" s="5">
        <v>19.0</v>
      </c>
      <c r="B23" s="5" t="s">
        <v>250</v>
      </c>
      <c r="C23" s="5">
        <v>90.0</v>
      </c>
      <c r="D23" s="6" t="s">
        <v>249</v>
      </c>
      <c r="E23" s="5" t="str">
        <f t="shared" si="4"/>
        <v>1350</v>
      </c>
      <c r="F23" s="5" t="str">
        <f t="shared" si="1"/>
        <v>1050</v>
      </c>
      <c r="G23" s="8" t="str">
        <f t="shared" si="2"/>
        <v>56.3%</v>
      </c>
      <c r="H23" s="5" t="str">
        <f t="shared" si="3"/>
        <v>56.3%</v>
      </c>
    </row>
    <row r="24" ht="15.75" customHeight="1">
      <c r="A24" s="5">
        <v>20.0</v>
      </c>
      <c r="B24" s="5" t="s">
        <v>251</v>
      </c>
      <c r="C24" s="5">
        <v>60.0</v>
      </c>
      <c r="D24" s="6" t="s">
        <v>249</v>
      </c>
      <c r="E24" s="5" t="str">
        <f t="shared" si="4"/>
        <v>1410</v>
      </c>
      <c r="F24" s="5" t="str">
        <f t="shared" si="1"/>
        <v>990</v>
      </c>
      <c r="G24" s="8" t="str">
        <f t="shared" si="2"/>
        <v>58.8%</v>
      </c>
      <c r="H24" s="5" t="str">
        <f t="shared" si="3"/>
        <v>58.8%</v>
      </c>
    </row>
    <row r="25" ht="15.75" customHeight="1">
      <c r="A25" s="5">
        <v>21.0</v>
      </c>
      <c r="B25" s="5" t="s">
        <v>252</v>
      </c>
      <c r="C25" s="5">
        <v>90.0</v>
      </c>
      <c r="D25" s="6" t="s">
        <v>253</v>
      </c>
      <c r="E25" s="5" t="str">
        <f t="shared" si="4"/>
        <v>1500</v>
      </c>
      <c r="F25" s="5" t="str">
        <f t="shared" si="1"/>
        <v>900</v>
      </c>
      <c r="G25" s="8" t="str">
        <f t="shared" si="2"/>
        <v>62.5%</v>
      </c>
      <c r="H25" s="5" t="str">
        <f t="shared" si="3"/>
        <v>62.5%</v>
      </c>
    </row>
    <row r="26" ht="15.75" customHeight="1">
      <c r="A26" s="5">
        <v>22.0</v>
      </c>
      <c r="B26" s="5" t="s">
        <v>97</v>
      </c>
      <c r="C26" s="5">
        <v>90.0</v>
      </c>
      <c r="D26" s="6" t="s">
        <v>253</v>
      </c>
      <c r="E26" s="5" t="str">
        <f t="shared" si="4"/>
        <v>1590</v>
      </c>
      <c r="F26" s="5" t="str">
        <f t="shared" si="1"/>
        <v>810</v>
      </c>
      <c r="G26" s="8" t="str">
        <f t="shared" si="2"/>
        <v>66.3%</v>
      </c>
      <c r="H26" s="5" t="str">
        <f t="shared" si="3"/>
        <v>66.3%</v>
      </c>
    </row>
    <row r="27" ht="15.75" customHeight="1">
      <c r="A27" s="5">
        <v>23.0</v>
      </c>
      <c r="B27" s="5" t="s">
        <v>254</v>
      </c>
      <c r="C27" s="5">
        <v>120.0</v>
      </c>
      <c r="D27" s="6" t="s">
        <v>255</v>
      </c>
      <c r="E27" s="5" t="str">
        <f t="shared" si="4"/>
        <v>1710</v>
      </c>
      <c r="F27" s="5" t="str">
        <f t="shared" si="1"/>
        <v>690</v>
      </c>
      <c r="G27" s="8" t="str">
        <f t="shared" si="2"/>
        <v>71.3%</v>
      </c>
      <c r="H27" s="5" t="str">
        <f t="shared" si="3"/>
        <v>71.3%</v>
      </c>
    </row>
    <row r="28" ht="15.75" customHeight="1">
      <c r="A28" s="5">
        <v>24.0</v>
      </c>
      <c r="B28" s="5" t="s">
        <v>256</v>
      </c>
      <c r="C28" s="5">
        <v>90.0</v>
      </c>
      <c r="D28" s="6" t="s">
        <v>257</v>
      </c>
      <c r="E28" s="5" t="str">
        <f t="shared" si="4"/>
        <v>1800</v>
      </c>
      <c r="F28" s="5" t="str">
        <f t="shared" si="1"/>
        <v>600</v>
      </c>
      <c r="G28" s="8" t="str">
        <f t="shared" si="2"/>
        <v>75.0%</v>
      </c>
      <c r="H28" s="5" t="str">
        <f t="shared" si="3"/>
        <v>75.0%</v>
      </c>
    </row>
    <row r="29" ht="15.75" customHeight="1">
      <c r="A29" s="5">
        <v>25.0</v>
      </c>
      <c r="B29" s="5" t="s">
        <v>256</v>
      </c>
      <c r="C29" s="5">
        <v>30.0</v>
      </c>
      <c r="D29" s="6" t="s">
        <v>257</v>
      </c>
      <c r="E29" s="5" t="str">
        <f t="shared" si="4"/>
        <v>1830</v>
      </c>
      <c r="F29" s="5" t="str">
        <f t="shared" si="1"/>
        <v>570</v>
      </c>
      <c r="G29" s="8" t="str">
        <f t="shared" si="2"/>
        <v>76.3%</v>
      </c>
      <c r="H29" s="5" t="str">
        <f t="shared" si="3"/>
        <v>76.3%</v>
      </c>
    </row>
    <row r="30" ht="15.75" customHeight="1">
      <c r="A30" s="5">
        <v>26.0</v>
      </c>
      <c r="B30" s="5" t="s">
        <v>258</v>
      </c>
      <c r="C30" s="5">
        <v>60.0</v>
      </c>
      <c r="D30" s="6" t="s">
        <v>259</v>
      </c>
      <c r="E30" s="5" t="str">
        <f t="shared" si="4"/>
        <v>1890</v>
      </c>
      <c r="F30" s="5" t="str">
        <f t="shared" si="1"/>
        <v>510</v>
      </c>
      <c r="G30" s="8" t="str">
        <f t="shared" si="2"/>
        <v>78.8%</v>
      </c>
      <c r="H30" s="5" t="str">
        <f t="shared" si="3"/>
        <v>78.8%</v>
      </c>
    </row>
    <row r="31" ht="15.75" customHeight="1">
      <c r="A31" s="5">
        <v>27.0</v>
      </c>
      <c r="B31" s="5" t="s">
        <v>260</v>
      </c>
      <c r="C31" s="5">
        <v>120.0</v>
      </c>
      <c r="D31" s="6" t="s">
        <v>255</v>
      </c>
      <c r="E31" s="5" t="str">
        <f t="shared" si="4"/>
        <v>2010</v>
      </c>
      <c r="F31" s="5" t="str">
        <f t="shared" si="1"/>
        <v>390</v>
      </c>
      <c r="G31" s="8" t="str">
        <f t="shared" si="2"/>
        <v>83.8%</v>
      </c>
      <c r="H31" s="5" t="str">
        <f t="shared" si="3"/>
        <v>83.8%</v>
      </c>
    </row>
    <row r="32" ht="15.75" customHeight="1">
      <c r="A32" s="5">
        <v>28.0</v>
      </c>
      <c r="B32" s="5" t="s">
        <v>261</v>
      </c>
      <c r="C32" s="5">
        <v>90.0</v>
      </c>
      <c r="D32" s="6" t="s">
        <v>262</v>
      </c>
      <c r="E32" s="5" t="str">
        <f t="shared" si="4"/>
        <v>2100</v>
      </c>
      <c r="F32" s="5" t="str">
        <f t="shared" si="1"/>
        <v>300</v>
      </c>
      <c r="G32" s="8" t="str">
        <f t="shared" si="2"/>
        <v>87.5%</v>
      </c>
      <c r="H32" s="5" t="str">
        <f t="shared" si="3"/>
        <v>87.5%</v>
      </c>
    </row>
    <row r="33" ht="15.75" customHeight="1">
      <c r="A33" s="2"/>
      <c r="B33" s="2"/>
      <c r="C33" s="2"/>
      <c r="D33" s="2"/>
      <c r="E33" s="2"/>
      <c r="F33" s="2"/>
      <c r="G33" s="2"/>
      <c r="H33" s="2"/>
    </row>
    <row r="34" ht="15.75" customHeight="1">
      <c r="A34" s="2"/>
      <c r="B34" s="2"/>
      <c r="C34" s="2"/>
      <c r="D34" s="2"/>
      <c r="E34" s="2"/>
      <c r="F34" s="2"/>
      <c r="G34" s="2"/>
      <c r="H34" s="2"/>
    </row>
    <row r="35" ht="15.75" customHeight="1">
      <c r="A35" s="2"/>
      <c r="B35" s="2"/>
      <c r="C35" s="2"/>
      <c r="D35" s="2"/>
      <c r="E35" s="2"/>
      <c r="F35" s="2"/>
      <c r="G35" s="2"/>
      <c r="H35" s="2"/>
    </row>
    <row r="36" ht="15.75" customHeight="1">
      <c r="A36" s="2"/>
      <c r="B36" s="2"/>
      <c r="C36" s="2"/>
      <c r="D36" s="2"/>
      <c r="E36" s="2"/>
      <c r="F36" s="2"/>
      <c r="G36" s="2"/>
      <c r="H36" s="2"/>
    </row>
    <row r="37" ht="15.75" customHeight="1">
      <c r="A37" s="2"/>
      <c r="B37" s="2"/>
      <c r="C37" s="2"/>
      <c r="D37" s="2"/>
      <c r="E37" s="2"/>
      <c r="F37" s="2"/>
      <c r="G37" s="2"/>
      <c r="H37" s="2"/>
    </row>
    <row r="38" ht="15.75" customHeight="1">
      <c r="A38" s="2"/>
      <c r="B38" s="2"/>
      <c r="C38" s="2"/>
      <c r="D38" s="2"/>
      <c r="E38" s="2"/>
      <c r="F38" s="2"/>
      <c r="G38" s="2"/>
      <c r="H38" s="2"/>
    </row>
    <row r="39" ht="15.75" customHeight="1">
      <c r="A39" s="2"/>
      <c r="B39" s="2"/>
      <c r="C39" s="2"/>
      <c r="D39" s="2"/>
      <c r="E39" s="2"/>
      <c r="F39" s="2"/>
      <c r="G39" s="2"/>
      <c r="H39" s="2"/>
    </row>
    <row r="40" ht="15.75" customHeight="1">
      <c r="A40" s="2"/>
      <c r="B40" s="2"/>
      <c r="C40" s="2"/>
      <c r="D40" s="2"/>
      <c r="E40" s="2"/>
      <c r="F40" s="2"/>
      <c r="G40" s="2"/>
      <c r="H40" s="2"/>
    </row>
    <row r="41" ht="15.75" customHeight="1">
      <c r="A41" s="2"/>
      <c r="B41" s="2"/>
      <c r="C41" s="2"/>
      <c r="D41" s="2"/>
      <c r="E41" s="2"/>
      <c r="F41" s="2"/>
      <c r="G41" s="2"/>
      <c r="H41" s="2"/>
    </row>
    <row r="42" ht="15.75" customHeight="1">
      <c r="A42" s="2"/>
      <c r="B42" s="2"/>
      <c r="C42" s="2"/>
      <c r="D42" s="2"/>
      <c r="E42" s="2"/>
      <c r="F42" s="2"/>
      <c r="G42" s="2"/>
      <c r="H42" s="2"/>
    </row>
    <row r="43" ht="15.75" customHeight="1">
      <c r="A43" s="2"/>
      <c r="B43" s="2"/>
      <c r="C43" s="2"/>
      <c r="D43" s="2"/>
      <c r="E43" s="2"/>
      <c r="F43" s="2"/>
      <c r="G43" s="2"/>
      <c r="H43" s="2"/>
    </row>
    <row r="44" ht="15.75" customHeight="1">
      <c r="A44" s="2"/>
      <c r="B44" s="2"/>
      <c r="C44" s="2"/>
      <c r="D44" s="2"/>
      <c r="E44" s="2"/>
      <c r="F44" s="2"/>
      <c r="G44" s="2"/>
      <c r="H44" s="2"/>
    </row>
    <row r="45" ht="15.75" customHeight="1">
      <c r="A45" s="2"/>
      <c r="B45" s="2"/>
      <c r="C45" s="2"/>
      <c r="D45" s="2"/>
      <c r="E45" s="2"/>
      <c r="F45" s="2"/>
      <c r="G45" s="2"/>
      <c r="H45" s="2"/>
    </row>
    <row r="46" ht="15.75" customHeight="1">
      <c r="A46" s="2"/>
      <c r="B46" s="2"/>
      <c r="C46" s="2"/>
      <c r="D46" s="2"/>
      <c r="E46" s="2"/>
      <c r="F46" s="2"/>
      <c r="G46" s="2"/>
      <c r="H46" s="2"/>
    </row>
    <row r="47" ht="15.75" customHeight="1">
      <c r="A47" s="2"/>
      <c r="B47" s="2"/>
      <c r="C47" s="2"/>
      <c r="D47" s="2"/>
      <c r="E47" s="2"/>
      <c r="F47" s="2"/>
      <c r="G47" s="2"/>
      <c r="H47" s="2"/>
    </row>
    <row r="48" ht="15.75" customHeight="1">
      <c r="A48" s="2"/>
      <c r="B48" s="2"/>
      <c r="C48" s="2"/>
      <c r="D48" s="2"/>
      <c r="E48" s="2"/>
      <c r="F48" s="2"/>
      <c r="G48" s="2"/>
      <c r="H48" s="2"/>
    </row>
    <row r="49" ht="15.75" customHeight="1">
      <c r="A49" s="2"/>
      <c r="B49" s="2"/>
      <c r="C49" s="2"/>
      <c r="D49" s="2"/>
      <c r="E49" s="2"/>
      <c r="F49" s="2"/>
      <c r="G49" s="2"/>
      <c r="H49" s="2"/>
    </row>
    <row r="50" ht="15.75" customHeight="1">
      <c r="A50" s="2"/>
      <c r="B50" s="2"/>
      <c r="C50" s="2"/>
      <c r="D50" s="2"/>
      <c r="E50" s="2"/>
      <c r="F50" s="2"/>
      <c r="G50" s="2"/>
      <c r="H50" s="2"/>
    </row>
    <row r="51" ht="15.75" customHeight="1">
      <c r="A51" s="2"/>
      <c r="B51" s="2"/>
      <c r="C51" s="2"/>
      <c r="D51" s="2"/>
      <c r="E51" s="2"/>
      <c r="F51" s="2"/>
      <c r="G51" s="2"/>
      <c r="H51" s="2"/>
    </row>
    <row r="52" ht="15.75" customHeight="1">
      <c r="A52" s="2"/>
      <c r="B52" s="2"/>
      <c r="C52" s="2"/>
      <c r="D52" s="2"/>
      <c r="E52" s="2"/>
      <c r="F52" s="2"/>
      <c r="G52" s="2"/>
      <c r="H52" s="2"/>
    </row>
    <row r="53" ht="15.75" customHeight="1">
      <c r="A53" s="2"/>
      <c r="B53" s="2"/>
      <c r="C53" s="2"/>
      <c r="D53" s="2"/>
      <c r="E53" s="2"/>
      <c r="F53" s="2"/>
      <c r="G53" s="2"/>
      <c r="H53" s="2"/>
    </row>
    <row r="54" ht="15.75" customHeight="1">
      <c r="A54" s="2"/>
      <c r="B54" s="2"/>
      <c r="C54" s="2"/>
      <c r="D54" s="2"/>
      <c r="E54" s="2"/>
      <c r="F54" s="2"/>
      <c r="G54" s="2"/>
      <c r="H54" s="2"/>
    </row>
    <row r="55" ht="15.75" customHeight="1">
      <c r="A55" s="2"/>
      <c r="B55" s="2"/>
      <c r="C55" s="2"/>
      <c r="D55" s="2"/>
      <c r="E55" s="2"/>
      <c r="F55" s="2"/>
      <c r="G55" s="2"/>
      <c r="H55" s="2"/>
    </row>
    <row r="56" ht="15.75" customHeight="1">
      <c r="A56" s="2"/>
      <c r="B56" s="2"/>
      <c r="C56" s="2"/>
      <c r="D56" s="2"/>
      <c r="E56" s="2"/>
      <c r="F56" s="2"/>
      <c r="G56" s="2"/>
      <c r="H56" s="2"/>
    </row>
    <row r="57" ht="15.75" customHeight="1">
      <c r="A57" s="2"/>
      <c r="B57" s="2"/>
      <c r="C57" s="2"/>
      <c r="D57" s="2"/>
      <c r="E57" s="2"/>
      <c r="F57" s="2"/>
      <c r="G57" s="2"/>
      <c r="H57" s="2"/>
    </row>
    <row r="58" ht="15.75" customHeight="1">
      <c r="A58" s="2"/>
      <c r="B58" s="2"/>
      <c r="C58" s="2"/>
      <c r="D58" s="2"/>
      <c r="E58" s="2"/>
      <c r="F58" s="2"/>
      <c r="G58" s="2"/>
      <c r="H58" s="2"/>
    </row>
    <row r="59" ht="15.75" customHeight="1">
      <c r="A59" s="2"/>
      <c r="B59" s="2"/>
      <c r="C59" s="2"/>
      <c r="D59" s="2"/>
      <c r="E59" s="2"/>
      <c r="F59" s="2"/>
      <c r="G59" s="2"/>
      <c r="H59" s="2"/>
    </row>
    <row r="60" ht="15.75" customHeight="1">
      <c r="A60" s="2"/>
      <c r="B60" s="2"/>
      <c r="C60" s="2"/>
      <c r="D60" s="2"/>
      <c r="E60" s="2"/>
      <c r="F60" s="2"/>
      <c r="G60" s="2"/>
      <c r="H60" s="2"/>
    </row>
    <row r="61" ht="15.75" customHeight="1">
      <c r="A61" s="2"/>
      <c r="B61" s="2"/>
      <c r="C61" s="2"/>
      <c r="D61" s="2"/>
      <c r="E61" s="2"/>
      <c r="F61" s="2"/>
      <c r="G61" s="2"/>
      <c r="H61" s="2"/>
    </row>
    <row r="62" ht="15.75" customHeight="1">
      <c r="A62" s="2"/>
      <c r="B62" s="2"/>
      <c r="C62" s="2"/>
      <c r="D62" s="2"/>
      <c r="E62" s="2"/>
      <c r="F62" s="2"/>
      <c r="G62" s="2"/>
      <c r="H62" s="2"/>
    </row>
    <row r="63" ht="15.75" customHeight="1">
      <c r="A63" s="2"/>
      <c r="B63" s="2"/>
      <c r="C63" s="2"/>
      <c r="D63" s="2"/>
      <c r="E63" s="2"/>
      <c r="F63" s="2"/>
      <c r="G63" s="2"/>
      <c r="H63" s="2"/>
    </row>
    <row r="64" ht="15.75" customHeight="1">
      <c r="A64" s="2"/>
      <c r="B64" s="2"/>
      <c r="C64" s="2"/>
      <c r="D64" s="2"/>
      <c r="E64" s="2"/>
      <c r="F64" s="2"/>
      <c r="G64" s="2"/>
      <c r="H64" s="2"/>
    </row>
    <row r="65" ht="15.75" customHeight="1">
      <c r="A65" s="2"/>
      <c r="B65" s="2"/>
      <c r="C65" s="2"/>
      <c r="D65" s="2"/>
      <c r="E65" s="2"/>
      <c r="F65" s="2"/>
      <c r="G65" s="2"/>
      <c r="H65" s="2"/>
    </row>
    <row r="66" ht="15.75" customHeight="1">
      <c r="A66" s="2"/>
      <c r="B66" s="2"/>
      <c r="C66" s="2"/>
      <c r="D66" s="2"/>
      <c r="E66" s="2"/>
      <c r="F66" s="2"/>
      <c r="G66" s="2"/>
      <c r="H66" s="2"/>
    </row>
    <row r="67" ht="15.75" customHeight="1">
      <c r="A67" s="2"/>
      <c r="B67" s="2"/>
      <c r="C67" s="2"/>
      <c r="D67" s="2"/>
      <c r="E67" s="2"/>
      <c r="F67" s="2"/>
      <c r="G67" s="2"/>
      <c r="H67" s="2"/>
    </row>
    <row r="68" ht="15.75" customHeight="1">
      <c r="A68" s="2"/>
      <c r="B68" s="2"/>
      <c r="C68" s="2"/>
      <c r="D68" s="2"/>
      <c r="E68" s="2"/>
      <c r="F68" s="2"/>
      <c r="G68" s="2"/>
      <c r="H68" s="2"/>
    </row>
    <row r="69" ht="15.75" customHeight="1">
      <c r="A69" s="2"/>
      <c r="B69" s="2"/>
      <c r="C69" s="2"/>
      <c r="D69" s="2"/>
      <c r="E69" s="2"/>
      <c r="F69" s="2"/>
      <c r="G69" s="2"/>
      <c r="H69" s="2"/>
    </row>
    <row r="70" ht="15.75" customHeight="1">
      <c r="A70" s="2"/>
      <c r="B70" s="2"/>
      <c r="C70" s="2"/>
      <c r="D70" s="2"/>
      <c r="E70" s="2"/>
      <c r="F70" s="2"/>
      <c r="G70" s="2"/>
      <c r="H70" s="2"/>
    </row>
    <row r="71" ht="15.75" customHeight="1">
      <c r="A71" s="2"/>
      <c r="B71" s="2"/>
      <c r="C71" s="2"/>
      <c r="D71" s="2"/>
      <c r="E71" s="2"/>
      <c r="F71" s="2"/>
      <c r="G71" s="2"/>
      <c r="H71" s="2"/>
    </row>
    <row r="72" ht="15.75" customHeight="1">
      <c r="A72" s="2"/>
      <c r="B72" s="2"/>
      <c r="C72" s="2"/>
      <c r="D72" s="2"/>
      <c r="E72" s="2"/>
      <c r="F72" s="2"/>
      <c r="G72" s="2"/>
      <c r="H72" s="2"/>
    </row>
    <row r="73" ht="15.75" customHeight="1">
      <c r="A73" s="2"/>
      <c r="B73" s="2"/>
      <c r="C73" s="2"/>
      <c r="D73" s="2"/>
      <c r="E73" s="2"/>
      <c r="F73" s="2"/>
      <c r="G73" s="2"/>
      <c r="H73" s="2"/>
    </row>
    <row r="74" ht="15.75" customHeight="1">
      <c r="A74" s="2"/>
      <c r="B74" s="2"/>
      <c r="C74" s="2"/>
      <c r="D74" s="2"/>
      <c r="E74" s="2"/>
      <c r="F74" s="2"/>
      <c r="G74" s="2"/>
      <c r="H74" s="2"/>
    </row>
    <row r="75" ht="15.75" customHeight="1">
      <c r="A75" s="2"/>
      <c r="B75" s="2"/>
      <c r="C75" s="2"/>
      <c r="D75" s="2"/>
      <c r="E75" s="2"/>
      <c r="F75" s="2"/>
      <c r="G75" s="2"/>
      <c r="H75" s="2"/>
    </row>
    <row r="76" ht="15.75" customHeight="1">
      <c r="A76" s="2"/>
      <c r="B76" s="2"/>
      <c r="C76" s="2"/>
      <c r="D76" s="2"/>
      <c r="E76" s="2"/>
      <c r="F76" s="2"/>
      <c r="G76" s="2"/>
      <c r="H76" s="2"/>
    </row>
    <row r="77" ht="15.75" customHeight="1">
      <c r="A77" s="2"/>
      <c r="B77" s="2"/>
      <c r="C77" s="2"/>
      <c r="D77" s="2"/>
      <c r="E77" s="2"/>
      <c r="F77" s="2"/>
      <c r="G77" s="2"/>
      <c r="H77" s="2"/>
    </row>
    <row r="78" ht="15.75" customHeight="1">
      <c r="A78" s="2"/>
      <c r="B78" s="2"/>
      <c r="C78" s="2"/>
      <c r="D78" s="2"/>
      <c r="E78" s="2"/>
      <c r="F78" s="2"/>
      <c r="G78" s="2"/>
      <c r="H78" s="2"/>
    </row>
    <row r="79" ht="15.75" customHeight="1">
      <c r="A79" s="2"/>
      <c r="B79" s="2"/>
      <c r="C79" s="2"/>
      <c r="D79" s="2"/>
      <c r="E79" s="2"/>
      <c r="F79" s="2"/>
      <c r="G79" s="2"/>
      <c r="H79" s="2"/>
    </row>
    <row r="80" ht="15.75" customHeight="1">
      <c r="A80" s="2"/>
      <c r="B80" s="2"/>
      <c r="C80" s="2"/>
      <c r="D80" s="2"/>
      <c r="E80" s="2"/>
      <c r="F80" s="2"/>
      <c r="G80" s="2"/>
      <c r="H80" s="2"/>
    </row>
    <row r="81" ht="15.75" customHeight="1">
      <c r="A81" s="2"/>
      <c r="B81" s="2"/>
      <c r="C81" s="2"/>
      <c r="D81" s="2"/>
      <c r="E81" s="2"/>
      <c r="F81" s="2"/>
      <c r="G81" s="2"/>
      <c r="H81" s="2"/>
    </row>
    <row r="82" ht="15.75" customHeight="1">
      <c r="A82" s="2"/>
      <c r="B82" s="2"/>
      <c r="C82" s="2"/>
      <c r="D82" s="2"/>
      <c r="E82" s="2"/>
      <c r="F82" s="2"/>
      <c r="G82" s="2"/>
      <c r="H82" s="2"/>
    </row>
    <row r="83" ht="15.75" customHeight="1">
      <c r="A83" s="2"/>
      <c r="B83" s="2"/>
      <c r="C83" s="2"/>
      <c r="D83" s="2"/>
      <c r="E83" s="2"/>
      <c r="F83" s="2"/>
      <c r="G83" s="2"/>
      <c r="H83" s="2"/>
    </row>
    <row r="84" ht="15.75" customHeight="1">
      <c r="A84" s="2"/>
      <c r="B84" s="2"/>
      <c r="C84" s="2"/>
      <c r="D84" s="2"/>
      <c r="E84" s="2"/>
      <c r="F84" s="2"/>
      <c r="G84" s="2"/>
      <c r="H84" s="2"/>
    </row>
    <row r="85" ht="15.75" customHeight="1">
      <c r="A85" s="2"/>
      <c r="B85" s="2"/>
      <c r="C85" s="2"/>
      <c r="D85" s="2"/>
      <c r="E85" s="2"/>
      <c r="F85" s="2"/>
      <c r="G85" s="2"/>
      <c r="H85" s="2"/>
    </row>
    <row r="86" ht="15.75" customHeight="1">
      <c r="A86" s="2"/>
      <c r="B86" s="2"/>
      <c r="C86" s="2"/>
      <c r="D86" s="2"/>
      <c r="E86" s="2"/>
      <c r="F86" s="2"/>
      <c r="G86" s="2"/>
      <c r="H86" s="2"/>
    </row>
    <row r="87" ht="15.75" customHeight="1">
      <c r="A87" s="2"/>
      <c r="B87" s="2"/>
      <c r="C87" s="2"/>
      <c r="D87" s="2"/>
      <c r="E87" s="2"/>
      <c r="F87" s="2"/>
      <c r="G87" s="2"/>
      <c r="H87" s="2"/>
    </row>
    <row r="88" ht="15.75" customHeight="1">
      <c r="A88" s="2"/>
      <c r="B88" s="2"/>
      <c r="C88" s="2"/>
      <c r="D88" s="2"/>
      <c r="E88" s="2"/>
      <c r="F88" s="2"/>
      <c r="G88" s="2"/>
      <c r="H88" s="2"/>
    </row>
    <row r="89" ht="15.75" customHeight="1">
      <c r="A89" s="2"/>
      <c r="B89" s="2"/>
      <c r="C89" s="2"/>
      <c r="D89" s="2"/>
      <c r="E89" s="2"/>
      <c r="F89" s="2"/>
      <c r="G89" s="2"/>
      <c r="H89" s="2"/>
    </row>
    <row r="90" ht="15.75" customHeight="1">
      <c r="A90" s="2"/>
      <c r="B90" s="2"/>
      <c r="C90" s="2"/>
      <c r="D90" s="2"/>
      <c r="E90" s="2"/>
      <c r="F90" s="2"/>
      <c r="G90" s="2"/>
      <c r="H90" s="2"/>
    </row>
    <row r="91" ht="15.75" customHeight="1">
      <c r="A91" s="2"/>
      <c r="B91" s="2"/>
      <c r="C91" s="2"/>
      <c r="D91" s="2"/>
      <c r="E91" s="2"/>
      <c r="F91" s="2"/>
      <c r="G91" s="2"/>
      <c r="H91" s="2"/>
    </row>
    <row r="92" ht="15.75" customHeight="1">
      <c r="A92" s="2"/>
      <c r="B92" s="2"/>
      <c r="C92" s="2"/>
      <c r="D92" s="2"/>
      <c r="E92" s="2"/>
      <c r="F92" s="2"/>
      <c r="G92" s="2"/>
      <c r="H92" s="2"/>
    </row>
    <row r="93" ht="15.75" customHeight="1">
      <c r="A93" s="2"/>
      <c r="B93" s="2"/>
      <c r="C93" s="2"/>
      <c r="D93" s="2"/>
      <c r="E93" s="2"/>
      <c r="F93" s="2"/>
      <c r="G93" s="2"/>
      <c r="H93" s="2"/>
    </row>
    <row r="94" ht="15.75" customHeight="1">
      <c r="A94" s="2"/>
      <c r="B94" s="2"/>
      <c r="C94" s="2"/>
      <c r="D94" s="2"/>
      <c r="E94" s="2"/>
      <c r="F94" s="2"/>
      <c r="G94" s="2"/>
      <c r="H94" s="2"/>
    </row>
    <row r="95" ht="15.75" customHeight="1">
      <c r="A95" s="2"/>
      <c r="B95" s="2"/>
      <c r="C95" s="2"/>
      <c r="D95" s="2"/>
      <c r="E95" s="2"/>
      <c r="F95" s="2"/>
      <c r="G95" s="2"/>
      <c r="H95" s="2"/>
    </row>
    <row r="96" ht="15.75" customHeight="1">
      <c r="A96" s="2"/>
      <c r="B96" s="2"/>
      <c r="C96" s="2"/>
      <c r="D96" s="2"/>
      <c r="E96" s="2"/>
      <c r="F96" s="2"/>
      <c r="G96" s="2"/>
      <c r="H96" s="2"/>
    </row>
    <row r="97" ht="15.75" customHeight="1">
      <c r="A97" s="2"/>
      <c r="B97" s="2"/>
      <c r="C97" s="2"/>
      <c r="D97" s="2"/>
      <c r="E97" s="2"/>
      <c r="F97" s="2"/>
      <c r="G97" s="2"/>
      <c r="H97" s="2"/>
    </row>
    <row r="98" ht="15.75" customHeight="1">
      <c r="A98" s="2"/>
      <c r="B98" s="2"/>
      <c r="C98" s="2"/>
      <c r="D98" s="2"/>
      <c r="E98" s="2"/>
      <c r="F98" s="2"/>
      <c r="G98" s="2"/>
      <c r="H98" s="2"/>
    </row>
    <row r="99" ht="15.75" customHeight="1">
      <c r="A99" s="2"/>
      <c r="B99" s="2"/>
      <c r="C99" s="2"/>
      <c r="D99" s="2"/>
      <c r="E99" s="2"/>
      <c r="F99" s="2"/>
      <c r="G99" s="2"/>
      <c r="H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</row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4.0"/>
    <col customWidth="1" min="3" max="3" width="22.0"/>
    <col customWidth="1" min="4" max="4" width="30.0"/>
    <col customWidth="1" min="5" max="5" width="18.0"/>
    <col customWidth="1" min="6" max="6" width="13.0"/>
    <col customWidth="1" min="7" max="7" width="20.0"/>
    <col customWidth="1" min="8" max="8" width="24.0"/>
  </cols>
  <sheetData>
    <row r="1">
      <c r="A1" s="18" t="s">
        <v>263</v>
      </c>
      <c r="B1" s="2"/>
      <c r="C1" s="2"/>
      <c r="D1" s="2"/>
      <c r="E1" s="2"/>
      <c r="F1" s="2"/>
      <c r="G1" s="2"/>
      <c r="H1" s="2"/>
    </row>
    <row r="2">
      <c r="A2" s="19" t="s">
        <v>264</v>
      </c>
      <c r="B2" s="2"/>
      <c r="C2" s="2"/>
      <c r="D2" s="2"/>
      <c r="E2" s="2"/>
      <c r="F2" s="2"/>
      <c r="G2" s="2"/>
      <c r="H2" s="2"/>
    </row>
    <row r="3">
      <c r="A3" s="2"/>
      <c r="B3" s="2"/>
      <c r="C3" s="2"/>
      <c r="D3" s="2"/>
      <c r="E3" s="2"/>
      <c r="F3" s="2"/>
      <c r="G3" s="2"/>
      <c r="H3" s="2"/>
    </row>
    <row r="4">
      <c r="A4" s="20" t="s">
        <v>81</v>
      </c>
      <c r="B4" s="20" t="s">
        <v>82</v>
      </c>
      <c r="C4" s="20" t="s">
        <v>83</v>
      </c>
      <c r="D4" s="20" t="s">
        <v>84</v>
      </c>
      <c r="E4" s="20" t="s">
        <v>85</v>
      </c>
      <c r="F4" s="20" t="s">
        <v>86</v>
      </c>
      <c r="G4" s="20" t="s">
        <v>87</v>
      </c>
      <c r="H4" s="20" t="s">
        <v>9</v>
      </c>
    </row>
    <row r="5">
      <c r="A5" s="5">
        <v>1.0</v>
      </c>
      <c r="B5" s="5" t="s">
        <v>35</v>
      </c>
      <c r="C5" s="5">
        <v>850.0</v>
      </c>
      <c r="D5" s="6" t="s">
        <v>265</v>
      </c>
      <c r="E5" s="5" t="str">
        <f>C5</f>
        <v>850</v>
      </c>
      <c r="F5" s="5" t="str">
        <f t="shared" ref="F5:F25" si="1">9200-E5</f>
        <v>8350</v>
      </c>
      <c r="G5" s="8" t="str">
        <f t="shared" ref="G5:G25" si="2">E5/9200</f>
        <v>9.2%</v>
      </c>
      <c r="H5" s="5" t="str">
        <f t="shared" ref="H5:H25" si="3">IF(G5&gt;=1, "100.0% (Package Over)", TEXT(MIN(G5*100, 99.9), "0.0") &amp; "%")</f>
        <v>9.2%</v>
      </c>
    </row>
    <row r="6">
      <c r="A6" s="5">
        <v>2.0</v>
      </c>
      <c r="B6" s="5" t="s">
        <v>37</v>
      </c>
      <c r="C6" s="5">
        <v>2600.0</v>
      </c>
      <c r="D6" s="6" t="s">
        <v>266</v>
      </c>
      <c r="E6" s="5" t="str">
        <f t="shared" ref="E6:E25" si="4">E5+C6</f>
        <v>3450</v>
      </c>
      <c r="F6" s="5" t="str">
        <f t="shared" si="1"/>
        <v>5750</v>
      </c>
      <c r="G6" s="8" t="str">
        <f t="shared" si="2"/>
        <v>37.5%</v>
      </c>
      <c r="H6" s="5" t="str">
        <f t="shared" si="3"/>
        <v>37.5%</v>
      </c>
    </row>
    <row r="7">
      <c r="A7" s="5">
        <v>3.0</v>
      </c>
      <c r="B7" s="5" t="s">
        <v>267</v>
      </c>
      <c r="C7" s="5">
        <v>2500.0</v>
      </c>
      <c r="D7" s="6" t="s">
        <v>268</v>
      </c>
      <c r="E7" s="5" t="str">
        <f t="shared" si="4"/>
        <v>5950</v>
      </c>
      <c r="F7" s="5" t="str">
        <f t="shared" si="1"/>
        <v>3250</v>
      </c>
      <c r="G7" s="8" t="str">
        <f t="shared" si="2"/>
        <v>64.7%</v>
      </c>
      <c r="H7" s="5" t="str">
        <f t="shared" si="3"/>
        <v>64.7%</v>
      </c>
    </row>
    <row r="8">
      <c r="A8" s="5">
        <v>4.0</v>
      </c>
      <c r="B8" s="5" t="s">
        <v>269</v>
      </c>
      <c r="C8" s="5">
        <v>1250.0</v>
      </c>
      <c r="D8" s="6" t="s">
        <v>270</v>
      </c>
      <c r="E8" s="5" t="str">
        <f t="shared" si="4"/>
        <v>7200</v>
      </c>
      <c r="F8" s="5" t="str">
        <f t="shared" si="1"/>
        <v>2000</v>
      </c>
      <c r="G8" s="8" t="str">
        <f t="shared" si="2"/>
        <v>78.3%</v>
      </c>
      <c r="H8" s="5" t="str">
        <f t="shared" si="3"/>
        <v>78.3%</v>
      </c>
    </row>
    <row r="9">
      <c r="A9" s="5">
        <v>5.0</v>
      </c>
      <c r="B9" s="5" t="s">
        <v>271</v>
      </c>
      <c r="C9" s="5">
        <v>1250.0</v>
      </c>
      <c r="D9" s="6" t="s">
        <v>272</v>
      </c>
      <c r="E9" s="5" t="str">
        <f t="shared" si="4"/>
        <v>8450</v>
      </c>
      <c r="F9" s="5" t="str">
        <f t="shared" si="1"/>
        <v>750</v>
      </c>
      <c r="G9" s="8" t="str">
        <f t="shared" si="2"/>
        <v>91.8%</v>
      </c>
      <c r="H9" s="5" t="str">
        <f t="shared" si="3"/>
        <v>91.8%</v>
      </c>
    </row>
    <row r="10">
      <c r="A10" s="5">
        <v>6.0</v>
      </c>
      <c r="B10" s="5" t="s">
        <v>245</v>
      </c>
      <c r="C10" s="5">
        <v>60.0</v>
      </c>
      <c r="D10" s="6" t="s">
        <v>273</v>
      </c>
      <c r="E10" s="5" t="str">
        <f t="shared" si="4"/>
        <v>8510</v>
      </c>
      <c r="F10" s="5" t="str">
        <f t="shared" si="1"/>
        <v>690</v>
      </c>
      <c r="G10" s="8" t="str">
        <f t="shared" si="2"/>
        <v>92.5%</v>
      </c>
      <c r="H10" s="5" t="str">
        <f t="shared" si="3"/>
        <v>92.5%</v>
      </c>
    </row>
    <row r="11">
      <c r="A11" s="5">
        <v>7.0</v>
      </c>
      <c r="B11" s="5" t="s">
        <v>274</v>
      </c>
      <c r="C11" s="5">
        <v>60.0</v>
      </c>
      <c r="D11" s="6" t="s">
        <v>275</v>
      </c>
      <c r="E11" s="5" t="str">
        <f t="shared" si="4"/>
        <v>8570</v>
      </c>
      <c r="F11" s="5" t="str">
        <f t="shared" si="1"/>
        <v>630</v>
      </c>
      <c r="G11" s="8" t="str">
        <f t="shared" si="2"/>
        <v>93.2%</v>
      </c>
      <c r="H11" s="5" t="str">
        <f t="shared" si="3"/>
        <v>93.2%</v>
      </c>
    </row>
    <row r="12">
      <c r="A12" s="5">
        <v>8.0</v>
      </c>
      <c r="B12" s="5" t="s">
        <v>276</v>
      </c>
      <c r="C12" s="5">
        <v>60.0</v>
      </c>
      <c r="D12" s="6" t="s">
        <v>277</v>
      </c>
      <c r="E12" s="5" t="str">
        <f t="shared" si="4"/>
        <v>8630</v>
      </c>
      <c r="F12" s="5" t="str">
        <f t="shared" si="1"/>
        <v>570</v>
      </c>
      <c r="G12" s="8" t="str">
        <f t="shared" si="2"/>
        <v>93.8%</v>
      </c>
      <c r="H12" s="5" t="str">
        <f t="shared" si="3"/>
        <v>93.8%</v>
      </c>
    </row>
    <row r="13">
      <c r="A13" s="5">
        <v>9.0</v>
      </c>
      <c r="B13" s="5" t="s">
        <v>210</v>
      </c>
      <c r="C13" s="5">
        <v>60.0</v>
      </c>
      <c r="D13" s="6" t="s">
        <v>277</v>
      </c>
      <c r="E13" s="5" t="str">
        <f t="shared" si="4"/>
        <v>8690</v>
      </c>
      <c r="F13" s="5" t="str">
        <f t="shared" si="1"/>
        <v>510</v>
      </c>
      <c r="G13" s="8" t="str">
        <f t="shared" si="2"/>
        <v>94.5%</v>
      </c>
      <c r="H13" s="5" t="str">
        <f t="shared" si="3"/>
        <v>94.5%</v>
      </c>
    </row>
    <row r="14">
      <c r="A14" s="5">
        <v>10.0</v>
      </c>
      <c r="B14" s="5" t="s">
        <v>278</v>
      </c>
      <c r="C14" s="5">
        <v>60.0</v>
      </c>
      <c r="D14" s="6" t="s">
        <v>273</v>
      </c>
      <c r="E14" s="5" t="str">
        <f t="shared" si="4"/>
        <v>8750</v>
      </c>
      <c r="F14" s="5" t="str">
        <f t="shared" si="1"/>
        <v>450</v>
      </c>
      <c r="G14" s="8" t="str">
        <f t="shared" si="2"/>
        <v>95.1%</v>
      </c>
      <c r="H14" s="5" t="str">
        <f t="shared" si="3"/>
        <v>95.1%</v>
      </c>
    </row>
    <row r="15">
      <c r="A15" s="5">
        <v>11.0</v>
      </c>
      <c r="B15" s="5" t="s">
        <v>279</v>
      </c>
      <c r="C15" s="5">
        <v>60.0</v>
      </c>
      <c r="D15" s="6" t="s">
        <v>280</v>
      </c>
      <c r="E15" s="5" t="str">
        <f t="shared" si="4"/>
        <v>8810</v>
      </c>
      <c r="F15" s="5" t="str">
        <f t="shared" si="1"/>
        <v>390</v>
      </c>
      <c r="G15" s="8" t="str">
        <f t="shared" si="2"/>
        <v>95.8%</v>
      </c>
      <c r="H15" s="5" t="str">
        <f t="shared" si="3"/>
        <v>95.8%</v>
      </c>
    </row>
    <row r="16">
      <c r="A16" s="5">
        <v>12.0</v>
      </c>
      <c r="B16" s="5" t="s">
        <v>166</v>
      </c>
      <c r="C16" s="5">
        <v>60.0</v>
      </c>
      <c r="D16" s="6" t="s">
        <v>281</v>
      </c>
      <c r="E16" s="5" t="str">
        <f t="shared" si="4"/>
        <v>8870</v>
      </c>
      <c r="F16" s="5" t="str">
        <f t="shared" si="1"/>
        <v>330</v>
      </c>
      <c r="G16" s="8" t="str">
        <f t="shared" si="2"/>
        <v>96.4%</v>
      </c>
      <c r="H16" s="5" t="str">
        <f t="shared" si="3"/>
        <v>96.4%</v>
      </c>
    </row>
    <row r="17">
      <c r="A17" s="5">
        <v>13.0</v>
      </c>
      <c r="B17" s="5" t="s">
        <v>282</v>
      </c>
      <c r="C17" s="5">
        <v>60.0</v>
      </c>
      <c r="D17" s="6" t="s">
        <v>281</v>
      </c>
      <c r="E17" s="5" t="str">
        <f t="shared" si="4"/>
        <v>8930</v>
      </c>
      <c r="F17" s="5" t="str">
        <f t="shared" si="1"/>
        <v>270</v>
      </c>
      <c r="G17" s="8" t="str">
        <f t="shared" si="2"/>
        <v>97.1%</v>
      </c>
      <c r="H17" s="5" t="str">
        <f t="shared" si="3"/>
        <v>97.1%</v>
      </c>
    </row>
    <row r="18">
      <c r="A18" s="5">
        <v>14.0</v>
      </c>
      <c r="B18" s="5" t="s">
        <v>282</v>
      </c>
      <c r="C18" s="5">
        <v>60.0</v>
      </c>
      <c r="D18" s="6" t="s">
        <v>283</v>
      </c>
      <c r="E18" s="5" t="str">
        <f t="shared" si="4"/>
        <v>8990</v>
      </c>
      <c r="F18" s="5" t="str">
        <f t="shared" si="1"/>
        <v>210</v>
      </c>
      <c r="G18" s="8" t="str">
        <f t="shared" si="2"/>
        <v>97.7%</v>
      </c>
      <c r="H18" s="5" t="str">
        <f t="shared" si="3"/>
        <v>97.7%</v>
      </c>
    </row>
    <row r="19">
      <c r="A19" s="5">
        <v>15.0</v>
      </c>
      <c r="B19" s="5" t="s">
        <v>284</v>
      </c>
      <c r="C19" s="5">
        <v>60.0</v>
      </c>
      <c r="D19" s="6" t="s">
        <v>285</v>
      </c>
      <c r="E19" s="5" t="str">
        <f t="shared" si="4"/>
        <v>9050</v>
      </c>
      <c r="F19" s="5" t="str">
        <f t="shared" si="1"/>
        <v>150</v>
      </c>
      <c r="G19" s="8" t="str">
        <f t="shared" si="2"/>
        <v>98.4%</v>
      </c>
      <c r="H19" s="5" t="str">
        <f t="shared" si="3"/>
        <v>98.4%</v>
      </c>
    </row>
    <row r="20">
      <c r="A20" s="5">
        <v>16.0</v>
      </c>
      <c r="B20" s="5" t="s">
        <v>286</v>
      </c>
      <c r="C20" s="5">
        <v>60.0</v>
      </c>
      <c r="D20" s="6" t="s">
        <v>287</v>
      </c>
      <c r="E20" s="5" t="str">
        <f t="shared" si="4"/>
        <v>9110</v>
      </c>
      <c r="F20" s="5" t="str">
        <f t="shared" si="1"/>
        <v>90</v>
      </c>
      <c r="G20" s="8" t="str">
        <f t="shared" si="2"/>
        <v>99.0%</v>
      </c>
      <c r="H20" s="5" t="str">
        <f t="shared" si="3"/>
        <v>99.0%</v>
      </c>
    </row>
    <row r="21" ht="15.75" customHeight="1">
      <c r="A21" s="5">
        <v>17.0</v>
      </c>
      <c r="B21" s="5" t="s">
        <v>288</v>
      </c>
      <c r="C21" s="5">
        <v>60.0</v>
      </c>
      <c r="D21" s="6" t="s">
        <v>289</v>
      </c>
      <c r="E21" s="5" t="str">
        <f t="shared" si="4"/>
        <v>9170</v>
      </c>
      <c r="F21" s="5" t="str">
        <f t="shared" si="1"/>
        <v>30</v>
      </c>
      <c r="G21" s="8" t="str">
        <f t="shared" si="2"/>
        <v>99.7%</v>
      </c>
      <c r="H21" s="5" t="str">
        <f t="shared" si="3"/>
        <v>99.7%</v>
      </c>
    </row>
    <row r="22" ht="15.75" customHeight="1">
      <c r="A22" s="5">
        <v>18.0</v>
      </c>
      <c r="B22" s="5" t="s">
        <v>290</v>
      </c>
      <c r="C22" s="5">
        <v>60.0</v>
      </c>
      <c r="D22" s="6" t="s">
        <v>285</v>
      </c>
      <c r="E22" s="5" t="str">
        <f t="shared" si="4"/>
        <v>9230</v>
      </c>
      <c r="F22" s="5" t="str">
        <f t="shared" si="1"/>
        <v>-30</v>
      </c>
      <c r="G22" s="8" t="str">
        <f t="shared" si="2"/>
        <v>100.3%</v>
      </c>
      <c r="H22" s="5" t="str">
        <f t="shared" si="3"/>
        <v>100.0% (Package Over)</v>
      </c>
    </row>
    <row r="23" ht="15.75" customHeight="1">
      <c r="A23" s="5">
        <v>19.0</v>
      </c>
      <c r="B23" s="5" t="s">
        <v>291</v>
      </c>
      <c r="C23" s="5">
        <v>60.0</v>
      </c>
      <c r="D23" s="6" t="s">
        <v>292</v>
      </c>
      <c r="E23" s="5" t="str">
        <f t="shared" si="4"/>
        <v>9290</v>
      </c>
      <c r="F23" s="5" t="str">
        <f t="shared" si="1"/>
        <v>-90</v>
      </c>
      <c r="G23" s="8" t="str">
        <f t="shared" si="2"/>
        <v>101.0%</v>
      </c>
      <c r="H23" s="5" t="str">
        <f t="shared" si="3"/>
        <v>100.0% (Package Over)</v>
      </c>
    </row>
    <row r="24" ht="15.75" customHeight="1">
      <c r="A24" s="5">
        <v>20.0</v>
      </c>
      <c r="B24" s="5" t="s">
        <v>293</v>
      </c>
      <c r="C24" s="5">
        <v>60.0</v>
      </c>
      <c r="D24" s="6" t="s">
        <v>294</v>
      </c>
      <c r="E24" s="5" t="str">
        <f t="shared" si="4"/>
        <v>9350</v>
      </c>
      <c r="F24" s="5" t="str">
        <f t="shared" si="1"/>
        <v>-150</v>
      </c>
      <c r="G24" s="8" t="str">
        <f t="shared" si="2"/>
        <v>101.6%</v>
      </c>
      <c r="H24" s="5" t="str">
        <f t="shared" si="3"/>
        <v>100.0% (Package Over)</v>
      </c>
    </row>
    <row r="25" ht="15.75" customHeight="1">
      <c r="A25" s="5">
        <v>21.0</v>
      </c>
      <c r="B25" s="5" t="s">
        <v>295</v>
      </c>
      <c r="C25" s="5">
        <v>60.0</v>
      </c>
      <c r="D25" s="6" t="s">
        <v>296</v>
      </c>
      <c r="E25" s="5" t="str">
        <f t="shared" si="4"/>
        <v>9410</v>
      </c>
      <c r="F25" s="5" t="str">
        <f t="shared" si="1"/>
        <v>-210</v>
      </c>
      <c r="G25" s="8" t="str">
        <f t="shared" si="2"/>
        <v>102.3%</v>
      </c>
      <c r="H25" s="5" t="str">
        <f t="shared" si="3"/>
        <v>100.0% (Package Over)</v>
      </c>
    </row>
    <row r="26" ht="15.75" customHeight="1">
      <c r="A26" s="2"/>
      <c r="B26" s="2"/>
      <c r="C26" s="2"/>
      <c r="D26" s="2"/>
      <c r="E26" s="2"/>
      <c r="F26" s="2"/>
      <c r="G26" s="2"/>
      <c r="H26" s="2"/>
    </row>
    <row r="27" ht="15.75" customHeight="1">
      <c r="A27" s="2"/>
      <c r="B27" s="2"/>
      <c r="C27" s="2"/>
      <c r="D27" s="2"/>
      <c r="E27" s="2"/>
      <c r="F27" s="2"/>
      <c r="G27" s="2"/>
      <c r="H27" s="2"/>
    </row>
    <row r="28" ht="15.75" customHeight="1">
      <c r="A28" s="2"/>
      <c r="B28" s="2"/>
      <c r="C28" s="2"/>
      <c r="D28" s="2"/>
      <c r="E28" s="2"/>
      <c r="F28" s="2"/>
      <c r="G28" s="2"/>
      <c r="H28" s="2"/>
    </row>
    <row r="29" ht="15.75" customHeight="1">
      <c r="A29" s="2"/>
      <c r="B29" s="2"/>
      <c r="C29" s="2"/>
      <c r="D29" s="2"/>
      <c r="E29" s="2"/>
      <c r="F29" s="2"/>
      <c r="G29" s="2"/>
      <c r="H29" s="2"/>
    </row>
    <row r="30" ht="15.75" customHeight="1">
      <c r="A30" s="2"/>
      <c r="B30" s="2"/>
      <c r="C30" s="2"/>
      <c r="D30" s="2"/>
      <c r="E30" s="2"/>
      <c r="F30" s="2"/>
      <c r="G30" s="2"/>
      <c r="H30" s="2"/>
    </row>
    <row r="31" ht="15.75" customHeight="1">
      <c r="A31" s="2"/>
      <c r="B31" s="2"/>
      <c r="C31" s="2"/>
      <c r="D31" s="2"/>
      <c r="E31" s="2"/>
      <c r="F31" s="2"/>
      <c r="G31" s="2"/>
      <c r="H31" s="2"/>
    </row>
    <row r="32" ht="15.75" customHeight="1">
      <c r="A32" s="2"/>
      <c r="B32" s="2"/>
      <c r="C32" s="2"/>
      <c r="D32" s="2"/>
      <c r="E32" s="2"/>
      <c r="F32" s="2"/>
      <c r="G32" s="2"/>
      <c r="H32" s="2"/>
    </row>
    <row r="33" ht="15.75" customHeight="1">
      <c r="A33" s="2"/>
      <c r="B33" s="2"/>
      <c r="C33" s="2"/>
      <c r="D33" s="2"/>
      <c r="E33" s="2"/>
      <c r="F33" s="2"/>
      <c r="G33" s="2"/>
      <c r="H33" s="2"/>
    </row>
    <row r="34" ht="15.75" customHeight="1">
      <c r="A34" s="2"/>
      <c r="B34" s="2"/>
      <c r="C34" s="2"/>
      <c r="D34" s="2"/>
      <c r="E34" s="2"/>
      <c r="F34" s="2"/>
      <c r="G34" s="2"/>
      <c r="H34" s="2"/>
    </row>
    <row r="35" ht="15.75" customHeight="1">
      <c r="A35" s="2"/>
      <c r="B35" s="2"/>
      <c r="C35" s="2"/>
      <c r="D35" s="2"/>
      <c r="E35" s="2"/>
      <c r="F35" s="2"/>
      <c r="G35" s="2"/>
      <c r="H35" s="2"/>
    </row>
    <row r="36" ht="15.75" customHeight="1">
      <c r="A36" s="2"/>
      <c r="B36" s="2"/>
      <c r="C36" s="2"/>
      <c r="D36" s="2"/>
      <c r="E36" s="2"/>
      <c r="F36" s="2"/>
      <c r="G36" s="2"/>
      <c r="H36" s="2"/>
    </row>
    <row r="37" ht="15.75" customHeight="1">
      <c r="A37" s="2"/>
      <c r="B37" s="2"/>
      <c r="C37" s="2"/>
      <c r="D37" s="2"/>
      <c r="E37" s="2"/>
      <c r="F37" s="2"/>
      <c r="G37" s="2"/>
      <c r="H37" s="2"/>
    </row>
    <row r="38" ht="15.75" customHeight="1">
      <c r="A38" s="2"/>
      <c r="B38" s="2"/>
      <c r="C38" s="2"/>
      <c r="D38" s="2"/>
      <c r="E38" s="2"/>
      <c r="F38" s="2"/>
      <c r="G38" s="2"/>
      <c r="H38" s="2"/>
    </row>
    <row r="39" ht="15.75" customHeight="1">
      <c r="A39" s="2"/>
      <c r="B39" s="2"/>
      <c r="C39" s="2"/>
      <c r="D39" s="2"/>
      <c r="E39" s="2"/>
      <c r="F39" s="2"/>
      <c r="G39" s="2"/>
      <c r="H39" s="2"/>
    </row>
    <row r="40" ht="15.75" customHeight="1">
      <c r="A40" s="2"/>
      <c r="B40" s="2"/>
      <c r="C40" s="2"/>
      <c r="D40" s="2"/>
      <c r="E40" s="2"/>
      <c r="F40" s="2"/>
      <c r="G40" s="2"/>
      <c r="H40" s="2"/>
    </row>
    <row r="41" ht="15.75" customHeight="1">
      <c r="A41" s="2"/>
      <c r="B41" s="2"/>
      <c r="C41" s="2"/>
      <c r="D41" s="2"/>
      <c r="E41" s="2"/>
      <c r="F41" s="2"/>
      <c r="G41" s="2"/>
      <c r="H41" s="2"/>
    </row>
    <row r="42" ht="15.75" customHeight="1">
      <c r="A42" s="2"/>
      <c r="B42" s="2"/>
      <c r="C42" s="2"/>
      <c r="D42" s="2"/>
      <c r="E42" s="2"/>
      <c r="F42" s="2"/>
      <c r="G42" s="2"/>
      <c r="H42" s="2"/>
    </row>
    <row r="43" ht="15.75" customHeight="1">
      <c r="A43" s="2"/>
      <c r="B43" s="2"/>
      <c r="C43" s="2"/>
      <c r="D43" s="2"/>
      <c r="E43" s="2"/>
      <c r="F43" s="2"/>
      <c r="G43" s="2"/>
      <c r="H43" s="2"/>
    </row>
    <row r="44" ht="15.75" customHeight="1">
      <c r="A44" s="2"/>
      <c r="B44" s="2"/>
      <c r="C44" s="2"/>
      <c r="D44" s="2"/>
      <c r="E44" s="2"/>
      <c r="F44" s="2"/>
      <c r="G44" s="2"/>
      <c r="H44" s="2"/>
    </row>
    <row r="45" ht="15.75" customHeight="1">
      <c r="A45" s="2"/>
      <c r="B45" s="2"/>
      <c r="C45" s="2"/>
      <c r="D45" s="2"/>
      <c r="E45" s="2"/>
      <c r="F45" s="2"/>
      <c r="G45" s="2"/>
      <c r="H45" s="2"/>
    </row>
    <row r="46" ht="15.75" customHeight="1">
      <c r="A46" s="2"/>
      <c r="B46" s="2"/>
      <c r="C46" s="2"/>
      <c r="D46" s="2"/>
      <c r="E46" s="2"/>
      <c r="F46" s="2"/>
      <c r="G46" s="2"/>
      <c r="H46" s="2"/>
    </row>
    <row r="47" ht="15.75" customHeight="1">
      <c r="A47" s="2"/>
      <c r="B47" s="2"/>
      <c r="C47" s="2"/>
      <c r="D47" s="2"/>
      <c r="E47" s="2"/>
      <c r="F47" s="2"/>
      <c r="G47" s="2"/>
      <c r="H47" s="2"/>
    </row>
    <row r="48" ht="15.75" customHeight="1">
      <c r="A48" s="2"/>
      <c r="B48" s="2"/>
      <c r="C48" s="2"/>
      <c r="D48" s="2"/>
      <c r="E48" s="2"/>
      <c r="F48" s="2"/>
      <c r="G48" s="2"/>
      <c r="H48" s="2"/>
    </row>
    <row r="49" ht="15.75" customHeight="1">
      <c r="A49" s="2"/>
      <c r="B49" s="2"/>
      <c r="C49" s="2"/>
      <c r="D49" s="2"/>
      <c r="E49" s="2"/>
      <c r="F49" s="2"/>
      <c r="G49" s="2"/>
      <c r="H49" s="2"/>
    </row>
    <row r="50" ht="15.75" customHeight="1">
      <c r="A50" s="2"/>
      <c r="B50" s="2"/>
      <c r="C50" s="2"/>
      <c r="D50" s="2"/>
      <c r="E50" s="2"/>
      <c r="F50" s="2"/>
      <c r="G50" s="2"/>
      <c r="H50" s="2"/>
    </row>
    <row r="51" ht="15.75" customHeight="1">
      <c r="A51" s="2"/>
      <c r="B51" s="2"/>
      <c r="C51" s="2"/>
      <c r="D51" s="2"/>
      <c r="E51" s="2"/>
      <c r="F51" s="2"/>
      <c r="G51" s="2"/>
      <c r="H51" s="2"/>
    </row>
    <row r="52" ht="15.75" customHeight="1">
      <c r="A52" s="2"/>
      <c r="B52" s="2"/>
      <c r="C52" s="2"/>
      <c r="D52" s="2"/>
      <c r="E52" s="2"/>
      <c r="F52" s="2"/>
      <c r="G52" s="2"/>
      <c r="H52" s="2"/>
    </row>
    <row r="53" ht="15.75" customHeight="1">
      <c r="A53" s="2"/>
      <c r="B53" s="2"/>
      <c r="C53" s="2"/>
      <c r="D53" s="2"/>
      <c r="E53" s="2"/>
      <c r="F53" s="2"/>
      <c r="G53" s="2"/>
      <c r="H53" s="2"/>
    </row>
    <row r="54" ht="15.75" customHeight="1">
      <c r="A54" s="2"/>
      <c r="B54" s="2"/>
      <c r="C54" s="2"/>
      <c r="D54" s="2"/>
      <c r="E54" s="2"/>
      <c r="F54" s="2"/>
      <c r="G54" s="2"/>
      <c r="H54" s="2"/>
    </row>
    <row r="55" ht="15.75" customHeight="1">
      <c r="A55" s="2"/>
      <c r="B55" s="2"/>
      <c r="C55" s="2"/>
      <c r="D55" s="2"/>
      <c r="E55" s="2"/>
      <c r="F55" s="2"/>
      <c r="G55" s="2"/>
      <c r="H55" s="2"/>
    </row>
    <row r="56" ht="15.75" customHeight="1">
      <c r="A56" s="2"/>
      <c r="B56" s="2"/>
      <c r="C56" s="2"/>
      <c r="D56" s="2"/>
      <c r="E56" s="2"/>
      <c r="F56" s="2"/>
      <c r="G56" s="2"/>
      <c r="H56" s="2"/>
    </row>
    <row r="57" ht="15.75" customHeight="1">
      <c r="A57" s="2"/>
      <c r="B57" s="2"/>
      <c r="C57" s="2"/>
      <c r="D57" s="2"/>
      <c r="E57" s="2"/>
      <c r="F57" s="2"/>
      <c r="G57" s="2"/>
      <c r="H57" s="2"/>
    </row>
    <row r="58" ht="15.75" customHeight="1">
      <c r="A58" s="2"/>
      <c r="B58" s="2"/>
      <c r="C58" s="2"/>
      <c r="D58" s="2"/>
      <c r="E58" s="2"/>
      <c r="F58" s="2"/>
      <c r="G58" s="2"/>
      <c r="H58" s="2"/>
    </row>
    <row r="59" ht="15.75" customHeight="1">
      <c r="A59" s="2"/>
      <c r="B59" s="2"/>
      <c r="C59" s="2"/>
      <c r="D59" s="2"/>
      <c r="E59" s="2"/>
      <c r="F59" s="2"/>
      <c r="G59" s="2"/>
      <c r="H59" s="2"/>
    </row>
    <row r="60" ht="15.75" customHeight="1">
      <c r="A60" s="2"/>
      <c r="B60" s="2"/>
      <c r="C60" s="2"/>
      <c r="D60" s="2"/>
      <c r="E60" s="2"/>
      <c r="F60" s="2"/>
      <c r="G60" s="2"/>
      <c r="H60" s="2"/>
    </row>
    <row r="61" ht="15.75" customHeight="1">
      <c r="A61" s="2"/>
      <c r="B61" s="2"/>
      <c r="C61" s="2"/>
      <c r="D61" s="2"/>
      <c r="E61" s="2"/>
      <c r="F61" s="2"/>
      <c r="G61" s="2"/>
      <c r="H61" s="2"/>
    </row>
    <row r="62" ht="15.75" customHeight="1">
      <c r="A62" s="2"/>
      <c r="B62" s="2"/>
      <c r="C62" s="2"/>
      <c r="D62" s="2"/>
      <c r="E62" s="2"/>
      <c r="F62" s="2"/>
      <c r="G62" s="2"/>
      <c r="H62" s="2"/>
    </row>
    <row r="63" ht="15.75" customHeight="1">
      <c r="A63" s="2"/>
      <c r="B63" s="2"/>
      <c r="C63" s="2"/>
      <c r="D63" s="2"/>
      <c r="E63" s="2"/>
      <c r="F63" s="2"/>
      <c r="G63" s="2"/>
      <c r="H63" s="2"/>
    </row>
    <row r="64" ht="15.75" customHeight="1">
      <c r="A64" s="2"/>
      <c r="B64" s="2"/>
      <c r="C64" s="2"/>
      <c r="D64" s="2"/>
      <c r="E64" s="2"/>
      <c r="F64" s="2"/>
      <c r="G64" s="2"/>
      <c r="H64" s="2"/>
    </row>
    <row r="65" ht="15.75" customHeight="1">
      <c r="A65" s="2"/>
      <c r="B65" s="2"/>
      <c r="C65" s="2"/>
      <c r="D65" s="2"/>
      <c r="E65" s="2"/>
      <c r="F65" s="2"/>
      <c r="G65" s="2"/>
      <c r="H65" s="2"/>
    </row>
    <row r="66" ht="15.75" customHeight="1">
      <c r="A66" s="2"/>
      <c r="B66" s="2"/>
      <c r="C66" s="2"/>
      <c r="D66" s="2"/>
      <c r="E66" s="2"/>
      <c r="F66" s="2"/>
      <c r="G66" s="2"/>
      <c r="H66" s="2"/>
    </row>
    <row r="67" ht="15.75" customHeight="1">
      <c r="A67" s="2"/>
      <c r="B67" s="2"/>
      <c r="C67" s="2"/>
      <c r="D67" s="2"/>
      <c r="E67" s="2"/>
      <c r="F67" s="2"/>
      <c r="G67" s="2"/>
      <c r="H67" s="2"/>
    </row>
    <row r="68" ht="15.75" customHeight="1">
      <c r="A68" s="2"/>
      <c r="B68" s="2"/>
      <c r="C68" s="2"/>
      <c r="D68" s="2"/>
      <c r="E68" s="2"/>
      <c r="F68" s="2"/>
      <c r="G68" s="2"/>
      <c r="H68" s="2"/>
    </row>
    <row r="69" ht="15.75" customHeight="1">
      <c r="A69" s="2"/>
      <c r="B69" s="2"/>
      <c r="C69" s="2"/>
      <c r="D69" s="2"/>
      <c r="E69" s="2"/>
      <c r="F69" s="2"/>
      <c r="G69" s="2"/>
      <c r="H69" s="2"/>
    </row>
    <row r="70" ht="15.75" customHeight="1">
      <c r="A70" s="2"/>
      <c r="B70" s="2"/>
      <c r="C70" s="2"/>
      <c r="D70" s="2"/>
      <c r="E70" s="2"/>
      <c r="F70" s="2"/>
      <c r="G70" s="2"/>
      <c r="H70" s="2"/>
    </row>
    <row r="71" ht="15.75" customHeight="1">
      <c r="A71" s="2"/>
      <c r="B71" s="2"/>
      <c r="C71" s="2"/>
      <c r="D71" s="2"/>
      <c r="E71" s="2"/>
      <c r="F71" s="2"/>
      <c r="G71" s="2"/>
      <c r="H71" s="2"/>
    </row>
    <row r="72" ht="15.75" customHeight="1">
      <c r="A72" s="2"/>
      <c r="B72" s="2"/>
      <c r="C72" s="2"/>
      <c r="D72" s="2"/>
      <c r="E72" s="2"/>
      <c r="F72" s="2"/>
      <c r="G72" s="2"/>
      <c r="H72" s="2"/>
    </row>
    <row r="73" ht="15.75" customHeight="1">
      <c r="A73" s="2"/>
      <c r="B73" s="2"/>
      <c r="C73" s="2"/>
      <c r="D73" s="2"/>
      <c r="E73" s="2"/>
      <c r="F73" s="2"/>
      <c r="G73" s="2"/>
      <c r="H73" s="2"/>
    </row>
    <row r="74" ht="15.75" customHeight="1">
      <c r="A74" s="2"/>
      <c r="B74" s="2"/>
      <c r="C74" s="2"/>
      <c r="D74" s="2"/>
      <c r="E74" s="2"/>
      <c r="F74" s="2"/>
      <c r="G74" s="2"/>
      <c r="H74" s="2"/>
    </row>
    <row r="75" ht="15.75" customHeight="1">
      <c r="A75" s="2"/>
      <c r="B75" s="2"/>
      <c r="C75" s="2"/>
      <c r="D75" s="2"/>
      <c r="E75" s="2"/>
      <c r="F75" s="2"/>
      <c r="G75" s="2"/>
      <c r="H75" s="2"/>
    </row>
    <row r="76" ht="15.75" customHeight="1">
      <c r="A76" s="2"/>
      <c r="B76" s="2"/>
      <c r="C76" s="2"/>
      <c r="D76" s="2"/>
      <c r="E76" s="2"/>
      <c r="F76" s="2"/>
      <c r="G76" s="2"/>
      <c r="H76" s="2"/>
    </row>
    <row r="77" ht="15.75" customHeight="1">
      <c r="A77" s="2"/>
      <c r="B77" s="2"/>
      <c r="C77" s="2"/>
      <c r="D77" s="2"/>
      <c r="E77" s="2"/>
      <c r="F77" s="2"/>
      <c r="G77" s="2"/>
      <c r="H77" s="2"/>
    </row>
    <row r="78" ht="15.75" customHeight="1">
      <c r="A78" s="2"/>
      <c r="B78" s="2"/>
      <c r="C78" s="2"/>
      <c r="D78" s="2"/>
      <c r="E78" s="2"/>
      <c r="F78" s="2"/>
      <c r="G78" s="2"/>
      <c r="H78" s="2"/>
    </row>
    <row r="79" ht="15.75" customHeight="1">
      <c r="A79" s="2"/>
      <c r="B79" s="2"/>
      <c r="C79" s="2"/>
      <c r="D79" s="2"/>
      <c r="E79" s="2"/>
      <c r="F79" s="2"/>
      <c r="G79" s="2"/>
      <c r="H79" s="2"/>
    </row>
    <row r="80" ht="15.75" customHeight="1">
      <c r="A80" s="2"/>
      <c r="B80" s="2"/>
      <c r="C80" s="2"/>
      <c r="D80" s="2"/>
      <c r="E80" s="2"/>
      <c r="F80" s="2"/>
      <c r="G80" s="2"/>
      <c r="H80" s="2"/>
    </row>
    <row r="81" ht="15.75" customHeight="1">
      <c r="A81" s="2"/>
      <c r="B81" s="2"/>
      <c r="C81" s="2"/>
      <c r="D81" s="2"/>
      <c r="E81" s="2"/>
      <c r="F81" s="2"/>
      <c r="G81" s="2"/>
      <c r="H81" s="2"/>
    </row>
    <row r="82" ht="15.75" customHeight="1">
      <c r="A82" s="2"/>
      <c r="B82" s="2"/>
      <c r="C82" s="2"/>
      <c r="D82" s="2"/>
      <c r="E82" s="2"/>
      <c r="F82" s="2"/>
      <c r="G82" s="2"/>
      <c r="H82" s="2"/>
    </row>
    <row r="83" ht="15.75" customHeight="1">
      <c r="A83" s="2"/>
      <c r="B83" s="2"/>
      <c r="C83" s="2"/>
      <c r="D83" s="2"/>
      <c r="E83" s="2"/>
      <c r="F83" s="2"/>
      <c r="G83" s="2"/>
      <c r="H83" s="2"/>
    </row>
    <row r="84" ht="15.75" customHeight="1">
      <c r="A84" s="2"/>
      <c r="B84" s="2"/>
      <c r="C84" s="2"/>
      <c r="D84" s="2"/>
      <c r="E84" s="2"/>
      <c r="F84" s="2"/>
      <c r="G84" s="2"/>
      <c r="H84" s="2"/>
    </row>
    <row r="85" ht="15.75" customHeight="1">
      <c r="A85" s="2"/>
      <c r="B85" s="2"/>
      <c r="C85" s="2"/>
      <c r="D85" s="2"/>
      <c r="E85" s="2"/>
      <c r="F85" s="2"/>
      <c r="G85" s="2"/>
      <c r="H85" s="2"/>
    </row>
    <row r="86" ht="15.75" customHeight="1">
      <c r="A86" s="2"/>
      <c r="B86" s="2"/>
      <c r="C86" s="2"/>
      <c r="D86" s="2"/>
      <c r="E86" s="2"/>
      <c r="F86" s="2"/>
      <c r="G86" s="2"/>
      <c r="H86" s="2"/>
    </row>
    <row r="87" ht="15.75" customHeight="1">
      <c r="A87" s="2"/>
      <c r="B87" s="2"/>
      <c r="C87" s="2"/>
      <c r="D87" s="2"/>
      <c r="E87" s="2"/>
      <c r="F87" s="2"/>
      <c r="G87" s="2"/>
      <c r="H87" s="2"/>
    </row>
    <row r="88" ht="15.75" customHeight="1">
      <c r="A88" s="2"/>
      <c r="B88" s="2"/>
      <c r="C88" s="2"/>
      <c r="D88" s="2"/>
      <c r="E88" s="2"/>
      <c r="F88" s="2"/>
      <c r="G88" s="2"/>
      <c r="H88" s="2"/>
    </row>
    <row r="89" ht="15.75" customHeight="1">
      <c r="A89" s="2"/>
      <c r="B89" s="2"/>
      <c r="C89" s="2"/>
      <c r="D89" s="2"/>
      <c r="E89" s="2"/>
      <c r="F89" s="2"/>
      <c r="G89" s="2"/>
      <c r="H89" s="2"/>
    </row>
    <row r="90" ht="15.75" customHeight="1">
      <c r="A90" s="2"/>
      <c r="B90" s="2"/>
      <c r="C90" s="2"/>
      <c r="D90" s="2"/>
      <c r="E90" s="2"/>
      <c r="F90" s="2"/>
      <c r="G90" s="2"/>
      <c r="H90" s="2"/>
    </row>
    <row r="91" ht="15.75" customHeight="1">
      <c r="A91" s="2"/>
      <c r="B91" s="2"/>
      <c r="C91" s="2"/>
      <c r="D91" s="2"/>
      <c r="E91" s="2"/>
      <c r="F91" s="2"/>
      <c r="G91" s="2"/>
      <c r="H91" s="2"/>
    </row>
    <row r="92" ht="15.75" customHeight="1">
      <c r="A92" s="2"/>
      <c r="B92" s="2"/>
      <c r="C92" s="2"/>
      <c r="D92" s="2"/>
      <c r="E92" s="2"/>
      <c r="F92" s="2"/>
      <c r="G92" s="2"/>
      <c r="H92" s="2"/>
    </row>
    <row r="93" ht="15.75" customHeight="1">
      <c r="A93" s="2"/>
      <c r="B93" s="2"/>
      <c r="C93" s="2"/>
      <c r="D93" s="2"/>
      <c r="E93" s="2"/>
      <c r="F93" s="2"/>
      <c r="G93" s="2"/>
      <c r="H93" s="2"/>
    </row>
    <row r="94" ht="15.75" customHeight="1">
      <c r="A94" s="2"/>
      <c r="B94" s="2"/>
      <c r="C94" s="2"/>
      <c r="D94" s="2"/>
      <c r="E94" s="2"/>
      <c r="F94" s="2"/>
      <c r="G94" s="2"/>
      <c r="H94" s="2"/>
    </row>
    <row r="95" ht="15.75" customHeight="1">
      <c r="A95" s="2"/>
      <c r="B95" s="2"/>
      <c r="C95" s="2"/>
      <c r="D95" s="2"/>
      <c r="E95" s="2"/>
      <c r="F95" s="2"/>
      <c r="G95" s="2"/>
      <c r="H95" s="2"/>
    </row>
    <row r="96" ht="15.75" customHeight="1">
      <c r="A96" s="2"/>
      <c r="B96" s="2"/>
      <c r="C96" s="2"/>
      <c r="D96" s="2"/>
      <c r="E96" s="2"/>
      <c r="F96" s="2"/>
      <c r="G96" s="2"/>
      <c r="H96" s="2"/>
    </row>
    <row r="97" ht="15.75" customHeight="1">
      <c r="A97" s="2"/>
      <c r="B97" s="2"/>
      <c r="C97" s="2"/>
      <c r="D97" s="2"/>
      <c r="E97" s="2"/>
      <c r="F97" s="2"/>
      <c r="G97" s="2"/>
      <c r="H97" s="2"/>
    </row>
    <row r="98" ht="15.75" customHeight="1">
      <c r="A98" s="2"/>
      <c r="B98" s="2"/>
      <c r="C98" s="2"/>
      <c r="D98" s="2"/>
      <c r="E98" s="2"/>
      <c r="F98" s="2"/>
      <c r="G98" s="2"/>
      <c r="H98" s="2"/>
    </row>
    <row r="99" ht="15.75" customHeight="1">
      <c r="A99" s="2"/>
      <c r="B99" s="2"/>
      <c r="C99" s="2"/>
      <c r="D99" s="2"/>
      <c r="E99" s="2"/>
      <c r="F99" s="2"/>
      <c r="G99" s="2"/>
      <c r="H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</row>
  </sheetData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4.0"/>
    <col customWidth="1" min="3" max="3" width="22.0"/>
    <col customWidth="1" min="4" max="4" width="30.0"/>
    <col customWidth="1" min="5" max="5" width="18.0"/>
    <col customWidth="1" min="6" max="6" width="13.0"/>
    <col customWidth="1" min="7" max="7" width="20.0"/>
    <col customWidth="1" min="8" max="8" width="24.0"/>
  </cols>
  <sheetData>
    <row r="1">
      <c r="A1" s="18" t="s">
        <v>297</v>
      </c>
      <c r="B1" s="2"/>
      <c r="C1" s="2"/>
      <c r="D1" s="2"/>
      <c r="E1" s="2"/>
      <c r="F1" s="2"/>
      <c r="G1" s="2"/>
      <c r="H1" s="2"/>
    </row>
    <row r="2">
      <c r="A2" s="19" t="s">
        <v>298</v>
      </c>
      <c r="B2" s="2"/>
      <c r="C2" s="2"/>
      <c r="D2" s="2"/>
      <c r="E2" s="2"/>
      <c r="F2" s="2"/>
      <c r="G2" s="2"/>
      <c r="H2" s="2"/>
    </row>
    <row r="3">
      <c r="A3" s="2"/>
      <c r="B3" s="2"/>
      <c r="C3" s="2"/>
      <c r="D3" s="2"/>
      <c r="E3" s="2"/>
      <c r="F3" s="2"/>
      <c r="G3" s="2"/>
      <c r="H3" s="2"/>
    </row>
    <row r="4">
      <c r="A4" s="20" t="s">
        <v>81</v>
      </c>
      <c r="B4" s="20" t="s">
        <v>82</v>
      </c>
      <c r="C4" s="20" t="s">
        <v>83</v>
      </c>
      <c r="D4" s="20" t="s">
        <v>84</v>
      </c>
      <c r="E4" s="20" t="s">
        <v>85</v>
      </c>
      <c r="F4" s="20" t="s">
        <v>86</v>
      </c>
      <c r="G4" s="20" t="s">
        <v>87</v>
      </c>
      <c r="H4" s="20" t="s">
        <v>9</v>
      </c>
    </row>
    <row r="5">
      <c r="A5" s="5">
        <v>1.0</v>
      </c>
      <c r="B5" s="5" t="s">
        <v>37</v>
      </c>
      <c r="C5" s="5">
        <v>60.0</v>
      </c>
      <c r="D5" s="6" t="s">
        <v>91</v>
      </c>
      <c r="E5" s="5" t="str">
        <f>C5</f>
        <v>60</v>
      </c>
      <c r="F5" s="5" t="str">
        <f t="shared" ref="F5:F45" si="1">2400-E5</f>
        <v>2340</v>
      </c>
      <c r="G5" s="8" t="str">
        <f t="shared" ref="G5:G45" si="2">E5/2400</f>
        <v>2.5%</v>
      </c>
      <c r="H5" s="5" t="str">
        <f t="shared" ref="H5:H45" si="3">IF(G5&gt;=1, "100.0% (Package Over)", TEXT(MIN(G5*100, 99.9), "0.0") &amp; "%")</f>
        <v>2.5%</v>
      </c>
    </row>
    <row r="6">
      <c r="A6" s="5">
        <v>2.0</v>
      </c>
      <c r="B6" s="5" t="s">
        <v>199</v>
      </c>
      <c r="C6" s="5">
        <v>60.0</v>
      </c>
      <c r="D6" s="6" t="s">
        <v>91</v>
      </c>
      <c r="E6" s="5" t="str">
        <f t="shared" ref="E6:E45" si="4">E5+C6</f>
        <v>120</v>
      </c>
      <c r="F6" s="5" t="str">
        <f t="shared" si="1"/>
        <v>2280</v>
      </c>
      <c r="G6" s="8" t="str">
        <f t="shared" si="2"/>
        <v>5.0%</v>
      </c>
      <c r="H6" s="5" t="str">
        <f t="shared" si="3"/>
        <v>5.0%</v>
      </c>
    </row>
    <row r="7">
      <c r="A7" s="5">
        <v>3.0</v>
      </c>
      <c r="B7" s="5" t="s">
        <v>215</v>
      </c>
      <c r="C7" s="5">
        <v>60.0</v>
      </c>
      <c r="D7" s="6" t="s">
        <v>91</v>
      </c>
      <c r="E7" s="5" t="str">
        <f t="shared" si="4"/>
        <v>180</v>
      </c>
      <c r="F7" s="5" t="str">
        <f t="shared" si="1"/>
        <v>2220</v>
      </c>
      <c r="G7" s="8" t="str">
        <f t="shared" si="2"/>
        <v>7.5%</v>
      </c>
      <c r="H7" s="5" t="str">
        <f t="shared" si="3"/>
        <v>7.5%</v>
      </c>
    </row>
    <row r="8">
      <c r="A8" s="5">
        <v>4.0</v>
      </c>
      <c r="B8" s="5" t="s">
        <v>299</v>
      </c>
      <c r="C8" s="5">
        <v>60.0</v>
      </c>
      <c r="D8" s="6" t="s">
        <v>119</v>
      </c>
      <c r="E8" s="5" t="str">
        <f t="shared" si="4"/>
        <v>240</v>
      </c>
      <c r="F8" s="5" t="str">
        <f t="shared" si="1"/>
        <v>2160</v>
      </c>
      <c r="G8" s="8" t="str">
        <f t="shared" si="2"/>
        <v>10.0%</v>
      </c>
      <c r="H8" s="5" t="str">
        <f t="shared" si="3"/>
        <v>10.0%</v>
      </c>
    </row>
    <row r="9">
      <c r="A9" s="5">
        <v>5.0</v>
      </c>
      <c r="B9" s="5" t="s">
        <v>202</v>
      </c>
      <c r="C9" s="5">
        <v>60.0</v>
      </c>
      <c r="D9" s="6" t="s">
        <v>91</v>
      </c>
      <c r="E9" s="5" t="str">
        <f t="shared" si="4"/>
        <v>300</v>
      </c>
      <c r="F9" s="5" t="str">
        <f t="shared" si="1"/>
        <v>2100</v>
      </c>
      <c r="G9" s="8" t="str">
        <f t="shared" si="2"/>
        <v>12.5%</v>
      </c>
      <c r="H9" s="5" t="str">
        <f t="shared" si="3"/>
        <v>12.5%</v>
      </c>
    </row>
    <row r="10">
      <c r="A10" s="5">
        <v>6.0</v>
      </c>
      <c r="B10" s="5" t="s">
        <v>92</v>
      </c>
      <c r="C10" s="5">
        <v>60.0</v>
      </c>
      <c r="D10" s="6" t="s">
        <v>93</v>
      </c>
      <c r="E10" s="5" t="str">
        <f t="shared" si="4"/>
        <v>360</v>
      </c>
      <c r="F10" s="5" t="str">
        <f t="shared" si="1"/>
        <v>2040</v>
      </c>
      <c r="G10" s="8" t="str">
        <f t="shared" si="2"/>
        <v>15.0%</v>
      </c>
      <c r="H10" s="5" t="str">
        <f t="shared" si="3"/>
        <v>15.0%</v>
      </c>
    </row>
    <row r="11">
      <c r="A11" s="5">
        <v>7.0</v>
      </c>
      <c r="B11" s="5" t="s">
        <v>300</v>
      </c>
      <c r="C11" s="5">
        <v>60.0</v>
      </c>
      <c r="D11" s="6" t="s">
        <v>91</v>
      </c>
      <c r="E11" s="5" t="str">
        <f t="shared" si="4"/>
        <v>420</v>
      </c>
      <c r="F11" s="5" t="str">
        <f t="shared" si="1"/>
        <v>1980</v>
      </c>
      <c r="G11" s="8" t="str">
        <f t="shared" si="2"/>
        <v>17.5%</v>
      </c>
      <c r="H11" s="5" t="str">
        <f t="shared" si="3"/>
        <v>17.5%</v>
      </c>
    </row>
    <row r="12">
      <c r="A12" s="5">
        <v>8.0</v>
      </c>
      <c r="B12" s="5" t="s">
        <v>126</v>
      </c>
      <c r="C12" s="5">
        <v>60.0</v>
      </c>
      <c r="D12" s="6" t="s">
        <v>93</v>
      </c>
      <c r="E12" s="5" t="str">
        <f t="shared" si="4"/>
        <v>480</v>
      </c>
      <c r="F12" s="5" t="str">
        <f t="shared" si="1"/>
        <v>1920</v>
      </c>
      <c r="G12" s="8" t="str">
        <f t="shared" si="2"/>
        <v>20.0%</v>
      </c>
      <c r="H12" s="5" t="str">
        <f t="shared" si="3"/>
        <v>20.0%</v>
      </c>
    </row>
    <row r="13">
      <c r="A13" s="5">
        <v>9.0</v>
      </c>
      <c r="B13" s="5" t="s">
        <v>126</v>
      </c>
      <c r="C13" s="5">
        <v>60.0</v>
      </c>
      <c r="D13" s="6" t="s">
        <v>91</v>
      </c>
      <c r="E13" s="5" t="str">
        <f t="shared" si="4"/>
        <v>540</v>
      </c>
      <c r="F13" s="5" t="str">
        <f t="shared" si="1"/>
        <v>1860</v>
      </c>
      <c r="G13" s="8" t="str">
        <f t="shared" si="2"/>
        <v>22.5%</v>
      </c>
      <c r="H13" s="5" t="str">
        <f t="shared" si="3"/>
        <v>22.5%</v>
      </c>
    </row>
    <row r="14">
      <c r="A14" s="5">
        <v>10.0</v>
      </c>
      <c r="B14" s="5" t="s">
        <v>301</v>
      </c>
      <c r="C14" s="5">
        <v>60.0</v>
      </c>
      <c r="D14" s="6" t="s">
        <v>91</v>
      </c>
      <c r="E14" s="5" t="str">
        <f t="shared" si="4"/>
        <v>600</v>
      </c>
      <c r="F14" s="5" t="str">
        <f t="shared" si="1"/>
        <v>1800</v>
      </c>
      <c r="G14" s="8" t="str">
        <f t="shared" si="2"/>
        <v>25.0%</v>
      </c>
      <c r="H14" s="5" t="str">
        <f t="shared" si="3"/>
        <v>25.0%</v>
      </c>
    </row>
    <row r="15">
      <c r="A15" s="5">
        <v>11.0</v>
      </c>
      <c r="B15" s="5" t="s">
        <v>244</v>
      </c>
      <c r="C15" s="5">
        <v>60.0</v>
      </c>
      <c r="D15" s="6" t="s">
        <v>93</v>
      </c>
      <c r="E15" s="5" t="str">
        <f t="shared" si="4"/>
        <v>660</v>
      </c>
      <c r="F15" s="5" t="str">
        <f t="shared" si="1"/>
        <v>1740</v>
      </c>
      <c r="G15" s="8" t="str">
        <f t="shared" si="2"/>
        <v>27.5%</v>
      </c>
      <c r="H15" s="5" t="str">
        <f t="shared" si="3"/>
        <v>27.5%</v>
      </c>
    </row>
    <row r="16">
      <c r="A16" s="5">
        <v>12.0</v>
      </c>
      <c r="B16" s="5" t="s">
        <v>66</v>
      </c>
      <c r="C16" s="5">
        <v>60.0</v>
      </c>
      <c r="D16" s="6" t="s">
        <v>91</v>
      </c>
      <c r="E16" s="5" t="str">
        <f t="shared" si="4"/>
        <v>720</v>
      </c>
      <c r="F16" s="5" t="str">
        <f t="shared" si="1"/>
        <v>1680</v>
      </c>
      <c r="G16" s="8" t="str">
        <f t="shared" si="2"/>
        <v>30.0%</v>
      </c>
      <c r="H16" s="5" t="str">
        <f t="shared" si="3"/>
        <v>30.0%</v>
      </c>
    </row>
    <row r="17">
      <c r="A17" s="5">
        <v>13.0</v>
      </c>
      <c r="B17" s="5" t="s">
        <v>302</v>
      </c>
      <c r="C17" s="5">
        <v>60.0</v>
      </c>
      <c r="D17" s="6" t="s">
        <v>91</v>
      </c>
      <c r="E17" s="5" t="str">
        <f t="shared" si="4"/>
        <v>780</v>
      </c>
      <c r="F17" s="5" t="str">
        <f t="shared" si="1"/>
        <v>1620</v>
      </c>
      <c r="G17" s="8" t="str">
        <f t="shared" si="2"/>
        <v>32.5%</v>
      </c>
      <c r="H17" s="5" t="str">
        <f t="shared" si="3"/>
        <v>32.5%</v>
      </c>
    </row>
    <row r="18">
      <c r="A18" s="5">
        <v>14.0</v>
      </c>
      <c r="B18" s="5" t="s">
        <v>303</v>
      </c>
      <c r="C18" s="5">
        <v>60.0</v>
      </c>
      <c r="D18" s="6" t="s">
        <v>91</v>
      </c>
      <c r="E18" s="5" t="str">
        <f t="shared" si="4"/>
        <v>840</v>
      </c>
      <c r="F18" s="5" t="str">
        <f t="shared" si="1"/>
        <v>1560</v>
      </c>
      <c r="G18" s="8" t="str">
        <f t="shared" si="2"/>
        <v>35.0%</v>
      </c>
      <c r="H18" s="5" t="str">
        <f t="shared" si="3"/>
        <v>35.0%</v>
      </c>
    </row>
    <row r="19">
      <c r="A19" s="5">
        <v>15.0</v>
      </c>
      <c r="B19" s="5" t="s">
        <v>194</v>
      </c>
      <c r="C19" s="5">
        <v>60.0</v>
      </c>
      <c r="D19" s="6" t="s">
        <v>95</v>
      </c>
      <c r="E19" s="5" t="str">
        <f t="shared" si="4"/>
        <v>900</v>
      </c>
      <c r="F19" s="5" t="str">
        <f t="shared" si="1"/>
        <v>1500</v>
      </c>
      <c r="G19" s="8" t="str">
        <f t="shared" si="2"/>
        <v>37.5%</v>
      </c>
      <c r="H19" s="5" t="str">
        <f t="shared" si="3"/>
        <v>37.5%</v>
      </c>
    </row>
    <row r="20">
      <c r="A20" s="5">
        <v>16.0</v>
      </c>
      <c r="B20" s="5" t="s">
        <v>70</v>
      </c>
      <c r="C20" s="5">
        <v>60.0</v>
      </c>
      <c r="D20" s="6" t="s">
        <v>95</v>
      </c>
      <c r="E20" s="5" t="str">
        <f t="shared" si="4"/>
        <v>960</v>
      </c>
      <c r="F20" s="5" t="str">
        <f t="shared" si="1"/>
        <v>1440</v>
      </c>
      <c r="G20" s="8" t="str">
        <f t="shared" si="2"/>
        <v>40.0%</v>
      </c>
      <c r="H20" s="5" t="str">
        <f t="shared" si="3"/>
        <v>40.0%</v>
      </c>
    </row>
    <row r="21" ht="15.75" customHeight="1">
      <c r="A21" s="5">
        <v>17.0</v>
      </c>
      <c r="B21" s="5" t="s">
        <v>304</v>
      </c>
      <c r="C21" s="5">
        <v>60.0</v>
      </c>
      <c r="D21" s="6" t="s">
        <v>91</v>
      </c>
      <c r="E21" s="5" t="str">
        <f t="shared" si="4"/>
        <v>1020</v>
      </c>
      <c r="F21" s="5" t="str">
        <f t="shared" si="1"/>
        <v>1380</v>
      </c>
      <c r="G21" s="8" t="str">
        <f t="shared" si="2"/>
        <v>42.5%</v>
      </c>
      <c r="H21" s="5" t="str">
        <f t="shared" si="3"/>
        <v>42.5%</v>
      </c>
    </row>
    <row r="22" ht="15.75" customHeight="1">
      <c r="A22" s="5">
        <v>18.0</v>
      </c>
      <c r="B22" s="5" t="s">
        <v>305</v>
      </c>
      <c r="C22" s="5">
        <v>60.0</v>
      </c>
      <c r="D22" s="6" t="s">
        <v>91</v>
      </c>
      <c r="E22" s="5" t="str">
        <f t="shared" si="4"/>
        <v>1080</v>
      </c>
      <c r="F22" s="5" t="str">
        <f t="shared" si="1"/>
        <v>1320</v>
      </c>
      <c r="G22" s="8" t="str">
        <f t="shared" si="2"/>
        <v>45.0%</v>
      </c>
      <c r="H22" s="5" t="str">
        <f t="shared" si="3"/>
        <v>45.0%</v>
      </c>
    </row>
    <row r="23" ht="15.75" customHeight="1">
      <c r="A23" s="5">
        <v>19.0</v>
      </c>
      <c r="B23" s="5" t="s">
        <v>306</v>
      </c>
      <c r="C23" s="5">
        <v>60.0</v>
      </c>
      <c r="D23" s="6" t="s">
        <v>101</v>
      </c>
      <c r="E23" s="5" t="str">
        <f t="shared" si="4"/>
        <v>1140</v>
      </c>
      <c r="F23" s="5" t="str">
        <f t="shared" si="1"/>
        <v>1260</v>
      </c>
      <c r="G23" s="8" t="str">
        <f t="shared" si="2"/>
        <v>47.5%</v>
      </c>
      <c r="H23" s="5" t="str">
        <f t="shared" si="3"/>
        <v>47.5%</v>
      </c>
    </row>
    <row r="24" ht="15.75" customHeight="1">
      <c r="A24" s="5">
        <v>20.0</v>
      </c>
      <c r="B24" s="5" t="s">
        <v>307</v>
      </c>
      <c r="C24" s="5">
        <v>60.0</v>
      </c>
      <c r="D24" s="6" t="s">
        <v>106</v>
      </c>
      <c r="E24" s="5" t="str">
        <f t="shared" si="4"/>
        <v>1200</v>
      </c>
      <c r="F24" s="5" t="str">
        <f t="shared" si="1"/>
        <v>1200</v>
      </c>
      <c r="G24" s="8" t="str">
        <f t="shared" si="2"/>
        <v>50.0%</v>
      </c>
      <c r="H24" s="5" t="str">
        <f t="shared" si="3"/>
        <v>50.0%</v>
      </c>
    </row>
    <row r="25" ht="15.75" customHeight="1">
      <c r="A25" s="5">
        <v>21.0</v>
      </c>
      <c r="B25" s="5" t="s">
        <v>96</v>
      </c>
      <c r="C25" s="5">
        <v>60.0</v>
      </c>
      <c r="D25" s="6" t="s">
        <v>308</v>
      </c>
      <c r="E25" s="5" t="str">
        <f t="shared" si="4"/>
        <v>1260</v>
      </c>
      <c r="F25" s="5" t="str">
        <f t="shared" si="1"/>
        <v>1140</v>
      </c>
      <c r="G25" s="8" t="str">
        <f t="shared" si="2"/>
        <v>52.5%</v>
      </c>
      <c r="H25" s="5" t="str">
        <f t="shared" si="3"/>
        <v>52.5%</v>
      </c>
    </row>
    <row r="26" ht="15.75" customHeight="1">
      <c r="A26" s="5">
        <v>22.0</v>
      </c>
      <c r="B26" s="5" t="s">
        <v>251</v>
      </c>
      <c r="C26" s="5">
        <v>60.0</v>
      </c>
      <c r="D26" s="6" t="s">
        <v>309</v>
      </c>
      <c r="E26" s="5" t="str">
        <f t="shared" si="4"/>
        <v>1320</v>
      </c>
      <c r="F26" s="5" t="str">
        <f t="shared" si="1"/>
        <v>1080</v>
      </c>
      <c r="G26" s="8" t="str">
        <f t="shared" si="2"/>
        <v>55.0%</v>
      </c>
      <c r="H26" s="5" t="str">
        <f t="shared" si="3"/>
        <v>55.0%</v>
      </c>
    </row>
    <row r="27" ht="15.75" customHeight="1">
      <c r="A27" s="5">
        <v>23.0</v>
      </c>
      <c r="B27" s="5" t="s">
        <v>310</v>
      </c>
      <c r="C27" s="5">
        <v>60.0</v>
      </c>
      <c r="D27" s="6" t="s">
        <v>309</v>
      </c>
      <c r="E27" s="5" t="str">
        <f t="shared" si="4"/>
        <v>1380</v>
      </c>
      <c r="F27" s="5" t="str">
        <f t="shared" si="1"/>
        <v>1020</v>
      </c>
      <c r="G27" s="8" t="str">
        <f t="shared" si="2"/>
        <v>57.5%</v>
      </c>
      <c r="H27" s="5" t="str">
        <f t="shared" si="3"/>
        <v>57.5%</v>
      </c>
    </row>
    <row r="28" ht="15.75" customHeight="1">
      <c r="A28" s="5">
        <v>24.0</v>
      </c>
      <c r="B28" s="5" t="s">
        <v>311</v>
      </c>
      <c r="C28" s="5">
        <v>60.0</v>
      </c>
      <c r="D28" s="6" t="s">
        <v>312</v>
      </c>
      <c r="E28" s="5" t="str">
        <f t="shared" si="4"/>
        <v>1440</v>
      </c>
      <c r="F28" s="5" t="str">
        <f t="shared" si="1"/>
        <v>960</v>
      </c>
      <c r="G28" s="8" t="str">
        <f t="shared" si="2"/>
        <v>60.0%</v>
      </c>
      <c r="H28" s="5" t="str">
        <f t="shared" si="3"/>
        <v>60.0%</v>
      </c>
    </row>
    <row r="29" ht="15.75" customHeight="1">
      <c r="A29" s="5">
        <v>25.0</v>
      </c>
      <c r="B29" s="5" t="s">
        <v>313</v>
      </c>
      <c r="C29" s="5">
        <v>60.0</v>
      </c>
      <c r="D29" s="6" t="s">
        <v>314</v>
      </c>
      <c r="E29" s="5" t="str">
        <f t="shared" si="4"/>
        <v>1500</v>
      </c>
      <c r="F29" s="5" t="str">
        <f t="shared" si="1"/>
        <v>900</v>
      </c>
      <c r="G29" s="8" t="str">
        <f t="shared" si="2"/>
        <v>62.5%</v>
      </c>
      <c r="H29" s="5" t="str">
        <f t="shared" si="3"/>
        <v>62.5%</v>
      </c>
    </row>
    <row r="30" ht="15.75" customHeight="1">
      <c r="A30" s="5">
        <v>26.0</v>
      </c>
      <c r="B30" s="5" t="s">
        <v>254</v>
      </c>
      <c r="C30" s="5">
        <v>60.0</v>
      </c>
      <c r="D30" s="6" t="s">
        <v>314</v>
      </c>
      <c r="E30" s="5" t="str">
        <f t="shared" si="4"/>
        <v>1560</v>
      </c>
      <c r="F30" s="5" t="str">
        <f t="shared" si="1"/>
        <v>840</v>
      </c>
      <c r="G30" s="8" t="str">
        <f t="shared" si="2"/>
        <v>65.0%</v>
      </c>
      <c r="H30" s="5" t="str">
        <f t="shared" si="3"/>
        <v>65.0%</v>
      </c>
    </row>
    <row r="31" ht="15.75" customHeight="1">
      <c r="A31" s="5">
        <v>27.0</v>
      </c>
      <c r="B31" s="5" t="s">
        <v>315</v>
      </c>
      <c r="C31" s="5">
        <v>90.0</v>
      </c>
      <c r="D31" s="6" t="s">
        <v>316</v>
      </c>
      <c r="E31" s="5" t="str">
        <f t="shared" si="4"/>
        <v>1650</v>
      </c>
      <c r="F31" s="5" t="str">
        <f t="shared" si="1"/>
        <v>750</v>
      </c>
      <c r="G31" s="8" t="str">
        <f t="shared" si="2"/>
        <v>68.8%</v>
      </c>
      <c r="H31" s="5" t="str">
        <f t="shared" si="3"/>
        <v>68.8%</v>
      </c>
    </row>
    <row r="32" ht="15.75" customHeight="1">
      <c r="A32" s="5">
        <v>28.0</v>
      </c>
      <c r="B32" s="5" t="s">
        <v>317</v>
      </c>
      <c r="C32" s="5">
        <v>90.0</v>
      </c>
      <c r="D32" s="6" t="s">
        <v>316</v>
      </c>
      <c r="E32" s="5" t="str">
        <f t="shared" si="4"/>
        <v>1740</v>
      </c>
      <c r="F32" s="5" t="str">
        <f t="shared" si="1"/>
        <v>660</v>
      </c>
      <c r="G32" s="8" t="str">
        <f t="shared" si="2"/>
        <v>72.5%</v>
      </c>
      <c r="H32" s="5" t="str">
        <f t="shared" si="3"/>
        <v>72.5%</v>
      </c>
    </row>
    <row r="33" ht="15.75" customHeight="1">
      <c r="A33" s="5">
        <v>29.0</v>
      </c>
      <c r="B33" s="5" t="s">
        <v>318</v>
      </c>
      <c r="C33" s="5">
        <v>60.0</v>
      </c>
      <c r="D33" s="6" t="s">
        <v>312</v>
      </c>
      <c r="E33" s="5" t="str">
        <f t="shared" si="4"/>
        <v>1800</v>
      </c>
      <c r="F33" s="5" t="str">
        <f t="shared" si="1"/>
        <v>600</v>
      </c>
      <c r="G33" s="8" t="str">
        <f t="shared" si="2"/>
        <v>75.0%</v>
      </c>
      <c r="H33" s="5" t="str">
        <f t="shared" si="3"/>
        <v>75.0%</v>
      </c>
    </row>
    <row r="34" ht="15.75" customHeight="1">
      <c r="A34" s="5">
        <v>30.0</v>
      </c>
      <c r="B34" s="5" t="s">
        <v>319</v>
      </c>
      <c r="C34" s="5">
        <v>60.0</v>
      </c>
      <c r="D34" s="6" t="s">
        <v>320</v>
      </c>
      <c r="E34" s="5" t="str">
        <f t="shared" si="4"/>
        <v>1860</v>
      </c>
      <c r="F34" s="5" t="str">
        <f t="shared" si="1"/>
        <v>540</v>
      </c>
      <c r="G34" s="8" t="str">
        <f t="shared" si="2"/>
        <v>77.5%</v>
      </c>
      <c r="H34" s="5" t="str">
        <f t="shared" si="3"/>
        <v>77.5%</v>
      </c>
    </row>
    <row r="35" ht="15.75" customHeight="1">
      <c r="A35" s="5">
        <v>31.0</v>
      </c>
      <c r="B35" s="5" t="s">
        <v>321</v>
      </c>
      <c r="C35" s="5">
        <v>60.0</v>
      </c>
      <c r="D35" s="6" t="s">
        <v>322</v>
      </c>
      <c r="E35" s="5" t="str">
        <f t="shared" si="4"/>
        <v>1920</v>
      </c>
      <c r="F35" s="5" t="str">
        <f t="shared" si="1"/>
        <v>480</v>
      </c>
      <c r="G35" s="8" t="str">
        <f t="shared" si="2"/>
        <v>80.0%</v>
      </c>
      <c r="H35" s="5" t="str">
        <f t="shared" si="3"/>
        <v>80.0%</v>
      </c>
    </row>
    <row r="36" ht="15.75" customHeight="1">
      <c r="A36" s="5">
        <v>32.0</v>
      </c>
      <c r="B36" s="5" t="s">
        <v>321</v>
      </c>
      <c r="C36" s="5">
        <v>60.0</v>
      </c>
      <c r="D36" s="6" t="s">
        <v>323</v>
      </c>
      <c r="E36" s="5" t="str">
        <f t="shared" si="4"/>
        <v>1980</v>
      </c>
      <c r="F36" s="5" t="str">
        <f t="shared" si="1"/>
        <v>420</v>
      </c>
      <c r="G36" s="8" t="str">
        <f t="shared" si="2"/>
        <v>82.5%</v>
      </c>
      <c r="H36" s="5" t="str">
        <f t="shared" si="3"/>
        <v>82.5%</v>
      </c>
    </row>
    <row r="37" ht="15.75" customHeight="1">
      <c r="A37" s="5">
        <v>33.0</v>
      </c>
      <c r="B37" s="5" t="s">
        <v>324</v>
      </c>
      <c r="C37" s="5">
        <v>60.0</v>
      </c>
      <c r="D37" s="6" t="s">
        <v>325</v>
      </c>
      <c r="E37" s="5" t="str">
        <f t="shared" si="4"/>
        <v>2040</v>
      </c>
      <c r="F37" s="5" t="str">
        <f t="shared" si="1"/>
        <v>360</v>
      </c>
      <c r="G37" s="8" t="str">
        <f t="shared" si="2"/>
        <v>85.0%</v>
      </c>
      <c r="H37" s="5" t="str">
        <f t="shared" si="3"/>
        <v>85.0%</v>
      </c>
    </row>
    <row r="38" ht="15.75" customHeight="1">
      <c r="A38" s="5">
        <v>34.0</v>
      </c>
      <c r="B38" s="5" t="s">
        <v>256</v>
      </c>
      <c r="C38" s="5">
        <v>60.0</v>
      </c>
      <c r="D38" s="6" t="s">
        <v>326</v>
      </c>
      <c r="E38" s="5" t="str">
        <f t="shared" si="4"/>
        <v>2100</v>
      </c>
      <c r="F38" s="5" t="str">
        <f t="shared" si="1"/>
        <v>300</v>
      </c>
      <c r="G38" s="8" t="str">
        <f t="shared" si="2"/>
        <v>87.5%</v>
      </c>
      <c r="H38" s="5" t="str">
        <f t="shared" si="3"/>
        <v>87.5%</v>
      </c>
    </row>
    <row r="39" ht="15.75" customHeight="1">
      <c r="A39" s="5">
        <v>35.0</v>
      </c>
      <c r="B39" s="5" t="s">
        <v>327</v>
      </c>
      <c r="C39" s="5">
        <v>60.0</v>
      </c>
      <c r="D39" s="6" t="s">
        <v>328</v>
      </c>
      <c r="E39" s="5" t="str">
        <f t="shared" si="4"/>
        <v>2160</v>
      </c>
      <c r="F39" s="5" t="str">
        <f t="shared" si="1"/>
        <v>240</v>
      </c>
      <c r="G39" s="8" t="str">
        <f t="shared" si="2"/>
        <v>90.0%</v>
      </c>
      <c r="H39" s="5" t="str">
        <f t="shared" si="3"/>
        <v>90.0%</v>
      </c>
    </row>
    <row r="40" ht="15.75" customHeight="1">
      <c r="A40" s="5">
        <v>36.0</v>
      </c>
      <c r="B40" s="5" t="s">
        <v>329</v>
      </c>
      <c r="C40" s="5">
        <v>60.0</v>
      </c>
      <c r="D40" s="6" t="s">
        <v>330</v>
      </c>
      <c r="E40" s="5" t="str">
        <f t="shared" si="4"/>
        <v>2220</v>
      </c>
      <c r="F40" s="5" t="str">
        <f t="shared" si="1"/>
        <v>180</v>
      </c>
      <c r="G40" s="8" t="str">
        <f t="shared" si="2"/>
        <v>92.5%</v>
      </c>
      <c r="H40" s="5" t="str">
        <f t="shared" si="3"/>
        <v>92.5%</v>
      </c>
    </row>
    <row r="41" ht="15.75" customHeight="1">
      <c r="A41" s="5">
        <v>37.0</v>
      </c>
      <c r="B41" s="5" t="s">
        <v>168</v>
      </c>
      <c r="C41" s="5">
        <v>60.0</v>
      </c>
      <c r="D41" s="6" t="s">
        <v>331</v>
      </c>
      <c r="E41" s="5" t="str">
        <f t="shared" si="4"/>
        <v>2280</v>
      </c>
      <c r="F41" s="5" t="str">
        <f t="shared" si="1"/>
        <v>120</v>
      </c>
      <c r="G41" s="8" t="str">
        <f t="shared" si="2"/>
        <v>95.0%</v>
      </c>
      <c r="H41" s="5" t="str">
        <f t="shared" si="3"/>
        <v>95.0%</v>
      </c>
    </row>
    <row r="42" ht="15.75" customHeight="1">
      <c r="A42" s="5">
        <v>38.0</v>
      </c>
      <c r="B42" s="5" t="s">
        <v>260</v>
      </c>
      <c r="C42" s="5">
        <v>60.0</v>
      </c>
      <c r="D42" s="6" t="s">
        <v>331</v>
      </c>
      <c r="E42" s="5" t="str">
        <f t="shared" si="4"/>
        <v>2340</v>
      </c>
      <c r="F42" s="5" t="str">
        <f t="shared" si="1"/>
        <v>60</v>
      </c>
      <c r="G42" s="8" t="str">
        <f t="shared" si="2"/>
        <v>97.5%</v>
      </c>
      <c r="H42" s="5" t="str">
        <f t="shared" si="3"/>
        <v>97.5%</v>
      </c>
    </row>
    <row r="43" ht="15.75" customHeight="1">
      <c r="A43" s="5">
        <v>39.0</v>
      </c>
      <c r="B43" s="5" t="s">
        <v>332</v>
      </c>
      <c r="C43" s="5">
        <v>60.0</v>
      </c>
      <c r="D43" s="6" t="s">
        <v>333</v>
      </c>
      <c r="E43" s="5" t="str">
        <f t="shared" si="4"/>
        <v>2400</v>
      </c>
      <c r="F43" s="5" t="str">
        <f t="shared" si="1"/>
        <v>0</v>
      </c>
      <c r="G43" s="8" t="str">
        <f t="shared" si="2"/>
        <v>100.0%</v>
      </c>
      <c r="H43" s="5" t="str">
        <f t="shared" si="3"/>
        <v>100.0% (Package Over)</v>
      </c>
    </row>
    <row r="44" ht="15.75" customHeight="1">
      <c r="A44" s="5">
        <v>40.0</v>
      </c>
      <c r="B44" s="5" t="s">
        <v>334</v>
      </c>
      <c r="C44" s="5">
        <v>60.0</v>
      </c>
      <c r="D44" s="6" t="s">
        <v>335</v>
      </c>
      <c r="E44" s="5" t="str">
        <f t="shared" si="4"/>
        <v>2460</v>
      </c>
      <c r="F44" s="5" t="str">
        <f t="shared" si="1"/>
        <v>-60</v>
      </c>
      <c r="G44" s="8" t="str">
        <f t="shared" si="2"/>
        <v>102.5%</v>
      </c>
      <c r="H44" s="5" t="str">
        <f t="shared" si="3"/>
        <v>100.0% (Package Over)</v>
      </c>
    </row>
    <row r="45" ht="15.75" customHeight="1">
      <c r="A45" s="5">
        <v>41.0</v>
      </c>
      <c r="B45" s="5" t="s">
        <v>203</v>
      </c>
      <c r="C45" s="5">
        <v>60.0</v>
      </c>
      <c r="D45" s="6" t="s">
        <v>331</v>
      </c>
      <c r="E45" s="5" t="str">
        <f t="shared" si="4"/>
        <v>2520</v>
      </c>
      <c r="F45" s="5" t="str">
        <f t="shared" si="1"/>
        <v>-120</v>
      </c>
      <c r="G45" s="8" t="str">
        <f t="shared" si="2"/>
        <v>105.0%</v>
      </c>
      <c r="H45" s="5" t="str">
        <f t="shared" si="3"/>
        <v>100.0% (Package Over)</v>
      </c>
    </row>
    <row r="46" ht="15.75" customHeight="1">
      <c r="A46" s="2"/>
      <c r="B46" s="2"/>
      <c r="C46" s="2"/>
      <c r="D46" s="2"/>
      <c r="E46" s="2"/>
      <c r="F46" s="2"/>
      <c r="G46" s="2"/>
      <c r="H46" s="2"/>
    </row>
    <row r="47" ht="15.75" customHeight="1">
      <c r="A47" s="2"/>
      <c r="B47" s="2"/>
      <c r="C47" s="2"/>
      <c r="D47" s="2"/>
      <c r="E47" s="2"/>
      <c r="F47" s="2"/>
      <c r="G47" s="2"/>
      <c r="H47" s="2"/>
    </row>
    <row r="48" ht="15.75" customHeight="1">
      <c r="A48" s="2"/>
      <c r="B48" s="2"/>
      <c r="C48" s="2"/>
      <c r="D48" s="2"/>
      <c r="E48" s="2"/>
      <c r="F48" s="2"/>
      <c r="G48" s="2"/>
      <c r="H48" s="2"/>
    </row>
    <row r="49" ht="15.75" customHeight="1">
      <c r="A49" s="2"/>
      <c r="B49" s="2"/>
      <c r="C49" s="2"/>
      <c r="D49" s="2"/>
      <c r="E49" s="2"/>
      <c r="F49" s="2"/>
      <c r="G49" s="2"/>
      <c r="H49" s="2"/>
    </row>
    <row r="50" ht="15.75" customHeight="1">
      <c r="A50" s="2"/>
      <c r="B50" s="2"/>
      <c r="C50" s="2"/>
      <c r="D50" s="2"/>
      <c r="E50" s="2"/>
      <c r="F50" s="2"/>
      <c r="G50" s="2"/>
      <c r="H50" s="2"/>
    </row>
    <row r="51" ht="15.75" customHeight="1">
      <c r="A51" s="2"/>
      <c r="B51" s="2"/>
      <c r="C51" s="2"/>
      <c r="D51" s="2"/>
      <c r="E51" s="2"/>
      <c r="F51" s="2"/>
      <c r="G51" s="2"/>
      <c r="H51" s="2"/>
    </row>
    <row r="52" ht="15.75" customHeight="1">
      <c r="A52" s="2"/>
      <c r="B52" s="2"/>
      <c r="C52" s="2"/>
      <c r="D52" s="2"/>
      <c r="E52" s="2"/>
      <c r="F52" s="2"/>
      <c r="G52" s="2"/>
      <c r="H52" s="2"/>
    </row>
    <row r="53" ht="15.75" customHeight="1">
      <c r="A53" s="2"/>
      <c r="B53" s="2"/>
      <c r="C53" s="2"/>
      <c r="D53" s="2"/>
      <c r="E53" s="2"/>
      <c r="F53" s="2"/>
      <c r="G53" s="2"/>
      <c r="H53" s="2"/>
    </row>
    <row r="54" ht="15.75" customHeight="1">
      <c r="A54" s="2"/>
      <c r="B54" s="2"/>
      <c r="C54" s="2"/>
      <c r="D54" s="2"/>
      <c r="E54" s="2"/>
      <c r="F54" s="2"/>
      <c r="G54" s="2"/>
      <c r="H54" s="2"/>
    </row>
    <row r="55" ht="15.75" customHeight="1">
      <c r="A55" s="2"/>
      <c r="B55" s="2"/>
      <c r="C55" s="2"/>
      <c r="D55" s="2"/>
      <c r="E55" s="2"/>
      <c r="F55" s="2"/>
      <c r="G55" s="2"/>
      <c r="H55" s="2"/>
    </row>
    <row r="56" ht="15.75" customHeight="1">
      <c r="A56" s="2"/>
      <c r="B56" s="2"/>
      <c r="C56" s="2"/>
      <c r="D56" s="2"/>
      <c r="E56" s="2"/>
      <c r="F56" s="2"/>
      <c r="G56" s="2"/>
      <c r="H56" s="2"/>
    </row>
    <row r="57" ht="15.75" customHeight="1">
      <c r="A57" s="2"/>
      <c r="B57" s="2"/>
      <c r="C57" s="2"/>
      <c r="D57" s="2"/>
      <c r="E57" s="2"/>
      <c r="F57" s="2"/>
      <c r="G57" s="2"/>
      <c r="H57" s="2"/>
    </row>
    <row r="58" ht="15.75" customHeight="1">
      <c r="A58" s="2"/>
      <c r="B58" s="2"/>
      <c r="C58" s="2"/>
      <c r="D58" s="2"/>
      <c r="E58" s="2"/>
      <c r="F58" s="2"/>
      <c r="G58" s="2"/>
      <c r="H58" s="2"/>
    </row>
    <row r="59" ht="15.75" customHeight="1">
      <c r="A59" s="2"/>
      <c r="B59" s="2"/>
      <c r="C59" s="2"/>
      <c r="D59" s="2"/>
      <c r="E59" s="2"/>
      <c r="F59" s="2"/>
      <c r="G59" s="2"/>
      <c r="H59" s="2"/>
    </row>
    <row r="60" ht="15.75" customHeight="1">
      <c r="A60" s="2"/>
      <c r="B60" s="2"/>
      <c r="C60" s="2"/>
      <c r="D60" s="2"/>
      <c r="E60" s="2"/>
      <c r="F60" s="2"/>
      <c r="G60" s="2"/>
      <c r="H60" s="2"/>
    </row>
    <row r="61" ht="15.75" customHeight="1">
      <c r="A61" s="2"/>
      <c r="B61" s="2"/>
      <c r="C61" s="2"/>
      <c r="D61" s="2"/>
      <c r="E61" s="2"/>
      <c r="F61" s="2"/>
      <c r="G61" s="2"/>
      <c r="H61" s="2"/>
    </row>
    <row r="62" ht="15.75" customHeight="1">
      <c r="A62" s="2"/>
      <c r="B62" s="2"/>
      <c r="C62" s="2"/>
      <c r="D62" s="2"/>
      <c r="E62" s="2"/>
      <c r="F62" s="2"/>
      <c r="G62" s="2"/>
      <c r="H62" s="2"/>
    </row>
    <row r="63" ht="15.75" customHeight="1">
      <c r="A63" s="2"/>
      <c r="B63" s="2"/>
      <c r="C63" s="2"/>
      <c r="D63" s="2"/>
      <c r="E63" s="2"/>
      <c r="F63" s="2"/>
      <c r="G63" s="2"/>
      <c r="H63" s="2"/>
    </row>
    <row r="64" ht="15.75" customHeight="1">
      <c r="A64" s="2"/>
      <c r="B64" s="2"/>
      <c r="C64" s="2"/>
      <c r="D64" s="2"/>
      <c r="E64" s="2"/>
      <c r="F64" s="2"/>
      <c r="G64" s="2"/>
      <c r="H64" s="2"/>
    </row>
    <row r="65" ht="15.75" customHeight="1">
      <c r="A65" s="2"/>
      <c r="B65" s="2"/>
      <c r="C65" s="2"/>
      <c r="D65" s="2"/>
      <c r="E65" s="2"/>
      <c r="F65" s="2"/>
      <c r="G65" s="2"/>
      <c r="H65" s="2"/>
    </row>
    <row r="66" ht="15.75" customHeight="1">
      <c r="A66" s="2"/>
      <c r="B66" s="2"/>
      <c r="C66" s="2"/>
      <c r="D66" s="2"/>
      <c r="E66" s="2"/>
      <c r="F66" s="2"/>
      <c r="G66" s="2"/>
      <c r="H66" s="2"/>
    </row>
    <row r="67" ht="15.75" customHeight="1">
      <c r="A67" s="2"/>
      <c r="B67" s="2"/>
      <c r="C67" s="2"/>
      <c r="D67" s="2"/>
      <c r="E67" s="2"/>
      <c r="F67" s="2"/>
      <c r="G67" s="2"/>
      <c r="H67" s="2"/>
    </row>
    <row r="68" ht="15.75" customHeight="1">
      <c r="A68" s="2"/>
      <c r="B68" s="2"/>
      <c r="C68" s="2"/>
      <c r="D68" s="2"/>
      <c r="E68" s="2"/>
      <c r="F68" s="2"/>
      <c r="G68" s="2"/>
      <c r="H68" s="2"/>
    </row>
    <row r="69" ht="15.75" customHeight="1">
      <c r="A69" s="2"/>
      <c r="B69" s="2"/>
      <c r="C69" s="2"/>
      <c r="D69" s="2"/>
      <c r="E69" s="2"/>
      <c r="F69" s="2"/>
      <c r="G69" s="2"/>
      <c r="H69" s="2"/>
    </row>
    <row r="70" ht="15.75" customHeight="1">
      <c r="A70" s="2"/>
      <c r="B70" s="2"/>
      <c r="C70" s="2"/>
      <c r="D70" s="2"/>
      <c r="E70" s="2"/>
      <c r="F70" s="2"/>
      <c r="G70" s="2"/>
      <c r="H70" s="2"/>
    </row>
    <row r="71" ht="15.75" customHeight="1">
      <c r="A71" s="2"/>
      <c r="B71" s="2"/>
      <c r="C71" s="2"/>
      <c r="D71" s="2"/>
      <c r="E71" s="2"/>
      <c r="F71" s="2"/>
      <c r="G71" s="2"/>
      <c r="H71" s="2"/>
    </row>
    <row r="72" ht="15.75" customHeight="1">
      <c r="A72" s="2"/>
      <c r="B72" s="2"/>
      <c r="C72" s="2"/>
      <c r="D72" s="2"/>
      <c r="E72" s="2"/>
      <c r="F72" s="2"/>
      <c r="G72" s="2"/>
      <c r="H72" s="2"/>
    </row>
    <row r="73" ht="15.75" customHeight="1">
      <c r="A73" s="2"/>
      <c r="B73" s="2"/>
      <c r="C73" s="2"/>
      <c r="D73" s="2"/>
      <c r="E73" s="2"/>
      <c r="F73" s="2"/>
      <c r="G73" s="2"/>
      <c r="H73" s="2"/>
    </row>
    <row r="74" ht="15.75" customHeight="1">
      <c r="A74" s="2"/>
      <c r="B74" s="2"/>
      <c r="C74" s="2"/>
      <c r="D74" s="2"/>
      <c r="E74" s="2"/>
      <c r="F74" s="2"/>
      <c r="G74" s="2"/>
      <c r="H74" s="2"/>
    </row>
    <row r="75" ht="15.75" customHeight="1">
      <c r="A75" s="2"/>
      <c r="B75" s="2"/>
      <c r="C75" s="2"/>
      <c r="D75" s="2"/>
      <c r="E75" s="2"/>
      <c r="F75" s="2"/>
      <c r="G75" s="2"/>
      <c r="H75" s="2"/>
    </row>
    <row r="76" ht="15.75" customHeight="1">
      <c r="A76" s="2"/>
      <c r="B76" s="2"/>
      <c r="C76" s="2"/>
      <c r="D76" s="2"/>
      <c r="E76" s="2"/>
      <c r="F76" s="2"/>
      <c r="G76" s="2"/>
      <c r="H76" s="2"/>
    </row>
    <row r="77" ht="15.75" customHeight="1">
      <c r="A77" s="2"/>
      <c r="B77" s="2"/>
      <c r="C77" s="2"/>
      <c r="D77" s="2"/>
      <c r="E77" s="2"/>
      <c r="F77" s="2"/>
      <c r="G77" s="2"/>
      <c r="H77" s="2"/>
    </row>
    <row r="78" ht="15.75" customHeight="1">
      <c r="A78" s="2"/>
      <c r="B78" s="2"/>
      <c r="C78" s="2"/>
      <c r="D78" s="2"/>
      <c r="E78" s="2"/>
      <c r="F78" s="2"/>
      <c r="G78" s="2"/>
      <c r="H78" s="2"/>
    </row>
    <row r="79" ht="15.75" customHeight="1">
      <c r="A79" s="2"/>
      <c r="B79" s="2"/>
      <c r="C79" s="2"/>
      <c r="D79" s="2"/>
      <c r="E79" s="2"/>
      <c r="F79" s="2"/>
      <c r="G79" s="2"/>
      <c r="H79" s="2"/>
    </row>
    <row r="80" ht="15.75" customHeight="1">
      <c r="A80" s="2"/>
      <c r="B80" s="2"/>
      <c r="C80" s="2"/>
      <c r="D80" s="2"/>
      <c r="E80" s="2"/>
      <c r="F80" s="2"/>
      <c r="G80" s="2"/>
      <c r="H80" s="2"/>
    </row>
    <row r="81" ht="15.75" customHeight="1">
      <c r="A81" s="2"/>
      <c r="B81" s="2"/>
      <c r="C81" s="2"/>
      <c r="D81" s="2"/>
      <c r="E81" s="2"/>
      <c r="F81" s="2"/>
      <c r="G81" s="2"/>
      <c r="H81" s="2"/>
    </row>
    <row r="82" ht="15.75" customHeight="1">
      <c r="A82" s="2"/>
      <c r="B82" s="2"/>
      <c r="C82" s="2"/>
      <c r="D82" s="2"/>
      <c r="E82" s="2"/>
      <c r="F82" s="2"/>
      <c r="G82" s="2"/>
      <c r="H82" s="2"/>
    </row>
    <row r="83" ht="15.75" customHeight="1">
      <c r="A83" s="2"/>
      <c r="B83" s="2"/>
      <c r="C83" s="2"/>
      <c r="D83" s="2"/>
      <c r="E83" s="2"/>
      <c r="F83" s="2"/>
      <c r="G83" s="2"/>
      <c r="H83" s="2"/>
    </row>
    <row r="84" ht="15.75" customHeight="1">
      <c r="A84" s="2"/>
      <c r="B84" s="2"/>
      <c r="C84" s="2"/>
      <c r="D84" s="2"/>
      <c r="E84" s="2"/>
      <c r="F84" s="2"/>
      <c r="G84" s="2"/>
      <c r="H84" s="2"/>
    </row>
    <row r="85" ht="15.75" customHeight="1">
      <c r="A85" s="2"/>
      <c r="B85" s="2"/>
      <c r="C85" s="2"/>
      <c r="D85" s="2"/>
      <c r="E85" s="2"/>
      <c r="F85" s="2"/>
      <c r="G85" s="2"/>
      <c r="H85" s="2"/>
    </row>
    <row r="86" ht="15.75" customHeight="1">
      <c r="A86" s="2"/>
      <c r="B86" s="2"/>
      <c r="C86" s="2"/>
      <c r="D86" s="2"/>
      <c r="E86" s="2"/>
      <c r="F86" s="2"/>
      <c r="G86" s="2"/>
      <c r="H86" s="2"/>
    </row>
    <row r="87" ht="15.75" customHeight="1">
      <c r="A87" s="2"/>
      <c r="B87" s="2"/>
      <c r="C87" s="2"/>
      <c r="D87" s="2"/>
      <c r="E87" s="2"/>
      <c r="F87" s="2"/>
      <c r="G87" s="2"/>
      <c r="H87" s="2"/>
    </row>
    <row r="88" ht="15.75" customHeight="1">
      <c r="A88" s="2"/>
      <c r="B88" s="2"/>
      <c r="C88" s="2"/>
      <c r="D88" s="2"/>
      <c r="E88" s="2"/>
      <c r="F88" s="2"/>
      <c r="G88" s="2"/>
      <c r="H88" s="2"/>
    </row>
    <row r="89" ht="15.75" customHeight="1">
      <c r="A89" s="2"/>
      <c r="B89" s="2"/>
      <c r="C89" s="2"/>
      <c r="D89" s="2"/>
      <c r="E89" s="2"/>
      <c r="F89" s="2"/>
      <c r="G89" s="2"/>
      <c r="H89" s="2"/>
    </row>
    <row r="90" ht="15.75" customHeight="1">
      <c r="A90" s="2"/>
      <c r="B90" s="2"/>
      <c r="C90" s="2"/>
      <c r="D90" s="2"/>
      <c r="E90" s="2"/>
      <c r="F90" s="2"/>
      <c r="G90" s="2"/>
      <c r="H90" s="2"/>
    </row>
    <row r="91" ht="15.75" customHeight="1">
      <c r="A91" s="2"/>
      <c r="B91" s="2"/>
      <c r="C91" s="2"/>
      <c r="D91" s="2"/>
      <c r="E91" s="2"/>
      <c r="F91" s="2"/>
      <c r="G91" s="2"/>
      <c r="H91" s="2"/>
    </row>
    <row r="92" ht="15.75" customHeight="1">
      <c r="A92" s="2"/>
      <c r="B92" s="2"/>
      <c r="C92" s="2"/>
      <c r="D92" s="2"/>
      <c r="E92" s="2"/>
      <c r="F92" s="2"/>
      <c r="G92" s="2"/>
      <c r="H92" s="2"/>
    </row>
    <row r="93" ht="15.75" customHeight="1">
      <c r="A93" s="2"/>
      <c r="B93" s="2"/>
      <c r="C93" s="2"/>
      <c r="D93" s="2"/>
      <c r="E93" s="2"/>
      <c r="F93" s="2"/>
      <c r="G93" s="2"/>
      <c r="H93" s="2"/>
    </row>
    <row r="94" ht="15.75" customHeight="1">
      <c r="A94" s="2"/>
      <c r="B94" s="2"/>
      <c r="C94" s="2"/>
      <c r="D94" s="2"/>
      <c r="E94" s="2"/>
      <c r="F94" s="2"/>
      <c r="G94" s="2"/>
      <c r="H94" s="2"/>
    </row>
    <row r="95" ht="15.75" customHeight="1">
      <c r="A95" s="2"/>
      <c r="B95" s="2"/>
      <c r="C95" s="2"/>
      <c r="D95" s="2"/>
      <c r="E95" s="2"/>
      <c r="F95" s="2"/>
      <c r="G95" s="2"/>
      <c r="H95" s="2"/>
    </row>
    <row r="96" ht="15.75" customHeight="1">
      <c r="A96" s="2"/>
      <c r="B96" s="2"/>
      <c r="C96" s="2"/>
      <c r="D96" s="2"/>
      <c r="E96" s="2"/>
      <c r="F96" s="2"/>
      <c r="G96" s="2"/>
      <c r="H96" s="2"/>
    </row>
    <row r="97" ht="15.75" customHeight="1">
      <c r="A97" s="2"/>
      <c r="B97" s="2"/>
      <c r="C97" s="2"/>
      <c r="D97" s="2"/>
      <c r="E97" s="2"/>
      <c r="F97" s="2"/>
      <c r="G97" s="2"/>
      <c r="H97" s="2"/>
    </row>
    <row r="98" ht="15.75" customHeight="1">
      <c r="A98" s="2"/>
      <c r="B98" s="2"/>
      <c r="C98" s="2"/>
      <c r="D98" s="2"/>
      <c r="E98" s="2"/>
      <c r="F98" s="2"/>
      <c r="G98" s="2"/>
      <c r="H98" s="2"/>
    </row>
    <row r="99" ht="15.75" customHeight="1">
      <c r="A99" s="2"/>
      <c r="B99" s="2"/>
      <c r="C99" s="2"/>
      <c r="D99" s="2"/>
      <c r="E99" s="2"/>
      <c r="F99" s="2"/>
      <c r="G99" s="2"/>
      <c r="H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</row>
  </sheetData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4.0"/>
    <col customWidth="1" min="3" max="3" width="22.0"/>
    <col customWidth="1" min="4" max="4" width="30.0"/>
    <col customWidth="1" min="5" max="6" width="18.0"/>
    <col customWidth="1" min="7" max="7" width="20.0"/>
    <col customWidth="1" min="8" max="8" width="24.0"/>
  </cols>
  <sheetData>
    <row r="1">
      <c r="A1" s="18" t="s">
        <v>336</v>
      </c>
      <c r="B1" s="2"/>
      <c r="C1" s="2"/>
      <c r="D1" s="2"/>
      <c r="E1" s="2"/>
      <c r="F1" s="2"/>
      <c r="G1" s="2"/>
      <c r="H1" s="2"/>
    </row>
    <row r="2">
      <c r="A2" s="19" t="s">
        <v>337</v>
      </c>
      <c r="B2" s="2"/>
      <c r="C2" s="2"/>
      <c r="D2" s="2"/>
      <c r="E2" s="2"/>
      <c r="F2" s="2"/>
      <c r="G2" s="2"/>
      <c r="H2" s="2"/>
    </row>
    <row r="3">
      <c r="A3" s="2"/>
      <c r="B3" s="2"/>
      <c r="C3" s="2"/>
      <c r="D3" s="2"/>
      <c r="E3" s="2"/>
      <c r="F3" s="2"/>
      <c r="G3" s="2"/>
      <c r="H3" s="2"/>
    </row>
    <row r="4">
      <c r="A4" s="20" t="s">
        <v>81</v>
      </c>
      <c r="B4" s="20" t="s">
        <v>82</v>
      </c>
      <c r="C4" s="20" t="s">
        <v>83</v>
      </c>
      <c r="D4" s="20" t="s">
        <v>84</v>
      </c>
      <c r="E4" s="20" t="s">
        <v>85</v>
      </c>
      <c r="F4" s="20" t="s">
        <v>86</v>
      </c>
      <c r="G4" s="20" t="s">
        <v>87</v>
      </c>
      <c r="H4" s="20" t="s">
        <v>9</v>
      </c>
    </row>
    <row r="5">
      <c r="A5" s="5">
        <v>1.0</v>
      </c>
      <c r="B5" s="5" t="s">
        <v>39</v>
      </c>
      <c r="C5" s="5">
        <v>60.0</v>
      </c>
      <c r="D5" s="6" t="s">
        <v>91</v>
      </c>
      <c r="E5" s="5" t="str">
        <f>C5</f>
        <v>60</v>
      </c>
      <c r="F5" s="5" t="str">
        <f t="shared" ref="F5:F17" si="1">960-E5</f>
        <v>900</v>
      </c>
      <c r="G5" s="8" t="str">
        <f t="shared" ref="G5:G17" si="2">E5/960</f>
        <v>6.3%</v>
      </c>
      <c r="H5" s="5" t="str">
        <f t="shared" ref="H5:H17" si="3">IF(G5&gt;=1, "100.0% (Package Over)", TEXT(MIN(G5*100, 99.9), "0.0") &amp; "%")</f>
        <v>6.3%</v>
      </c>
    </row>
    <row r="6">
      <c r="A6" s="5">
        <v>2.0</v>
      </c>
      <c r="B6" s="5" t="s">
        <v>116</v>
      </c>
      <c r="C6" s="5">
        <v>60.0</v>
      </c>
      <c r="D6" s="6" t="s">
        <v>338</v>
      </c>
      <c r="E6" s="5" t="str">
        <f t="shared" ref="E6:E17" si="4">E5+C6</f>
        <v>120</v>
      </c>
      <c r="F6" s="5" t="str">
        <f t="shared" si="1"/>
        <v>840</v>
      </c>
      <c r="G6" s="8" t="str">
        <f t="shared" si="2"/>
        <v>12.5%</v>
      </c>
      <c r="H6" s="5" t="str">
        <f t="shared" si="3"/>
        <v>12.5%</v>
      </c>
    </row>
    <row r="7">
      <c r="A7" s="5">
        <v>3.0</v>
      </c>
      <c r="B7" s="5" t="s">
        <v>339</v>
      </c>
      <c r="C7" s="5">
        <v>60.0</v>
      </c>
      <c r="D7" s="6" t="s">
        <v>91</v>
      </c>
      <c r="E7" s="5" t="str">
        <f t="shared" si="4"/>
        <v>180</v>
      </c>
      <c r="F7" s="5" t="str">
        <f t="shared" si="1"/>
        <v>780</v>
      </c>
      <c r="G7" s="8" t="str">
        <f t="shared" si="2"/>
        <v>18.8%</v>
      </c>
      <c r="H7" s="5" t="str">
        <f t="shared" si="3"/>
        <v>18.8%</v>
      </c>
    </row>
    <row r="8">
      <c r="A8" s="5">
        <v>4.0</v>
      </c>
      <c r="B8" s="5" t="s">
        <v>45</v>
      </c>
      <c r="C8" s="5">
        <v>60.0</v>
      </c>
      <c r="D8" s="6" t="s">
        <v>91</v>
      </c>
      <c r="E8" s="5" t="str">
        <f t="shared" si="4"/>
        <v>240</v>
      </c>
      <c r="F8" s="5" t="str">
        <f t="shared" si="1"/>
        <v>720</v>
      </c>
      <c r="G8" s="8" t="str">
        <f t="shared" si="2"/>
        <v>25.0%</v>
      </c>
      <c r="H8" s="5" t="str">
        <f t="shared" si="3"/>
        <v>25.0%</v>
      </c>
    </row>
    <row r="9">
      <c r="A9" s="5">
        <v>5.0</v>
      </c>
      <c r="B9" s="5" t="s">
        <v>340</v>
      </c>
      <c r="C9" s="5">
        <v>60.0</v>
      </c>
      <c r="D9" s="6" t="s">
        <v>91</v>
      </c>
      <c r="E9" s="5" t="str">
        <f t="shared" si="4"/>
        <v>300</v>
      </c>
      <c r="F9" s="5" t="str">
        <f t="shared" si="1"/>
        <v>660</v>
      </c>
      <c r="G9" s="8" t="str">
        <f t="shared" si="2"/>
        <v>31.3%</v>
      </c>
      <c r="H9" s="5" t="str">
        <f t="shared" si="3"/>
        <v>31.3%</v>
      </c>
    </row>
    <row r="10">
      <c r="A10" s="5">
        <v>6.0</v>
      </c>
      <c r="B10" s="5" t="s">
        <v>341</v>
      </c>
      <c r="C10" s="5">
        <v>60.0</v>
      </c>
      <c r="D10" s="6" t="s">
        <v>101</v>
      </c>
      <c r="E10" s="5" t="str">
        <f t="shared" si="4"/>
        <v>360</v>
      </c>
      <c r="F10" s="5" t="str">
        <f t="shared" si="1"/>
        <v>600</v>
      </c>
      <c r="G10" s="8" t="str">
        <f t="shared" si="2"/>
        <v>37.5%</v>
      </c>
      <c r="H10" s="5" t="str">
        <f t="shared" si="3"/>
        <v>37.5%</v>
      </c>
    </row>
    <row r="11">
      <c r="A11" s="5">
        <v>7.0</v>
      </c>
      <c r="B11" s="5" t="s">
        <v>166</v>
      </c>
      <c r="C11" s="5">
        <v>60.0</v>
      </c>
      <c r="D11" s="6" t="s">
        <v>106</v>
      </c>
      <c r="E11" s="5" t="str">
        <f t="shared" si="4"/>
        <v>420</v>
      </c>
      <c r="F11" s="5" t="str">
        <f t="shared" si="1"/>
        <v>540</v>
      </c>
      <c r="G11" s="8" t="str">
        <f t="shared" si="2"/>
        <v>43.8%</v>
      </c>
      <c r="H11" s="5" t="str">
        <f t="shared" si="3"/>
        <v>43.8%</v>
      </c>
    </row>
    <row r="12">
      <c r="A12" s="5">
        <v>8.0</v>
      </c>
      <c r="B12" s="5" t="s">
        <v>342</v>
      </c>
      <c r="C12" s="5">
        <v>60.0</v>
      </c>
      <c r="D12" s="6" t="s">
        <v>132</v>
      </c>
      <c r="E12" s="5" t="str">
        <f t="shared" si="4"/>
        <v>480</v>
      </c>
      <c r="F12" s="5" t="str">
        <f t="shared" si="1"/>
        <v>480</v>
      </c>
      <c r="G12" s="8" t="str">
        <f t="shared" si="2"/>
        <v>50.0%</v>
      </c>
      <c r="H12" s="5" t="str">
        <f t="shared" si="3"/>
        <v>50.0%</v>
      </c>
    </row>
    <row r="13">
      <c r="A13" s="5">
        <v>9.0</v>
      </c>
      <c r="B13" s="5" t="s">
        <v>342</v>
      </c>
      <c r="C13" s="5">
        <v>60.0</v>
      </c>
      <c r="D13" s="6" t="s">
        <v>343</v>
      </c>
      <c r="E13" s="5" t="str">
        <f t="shared" si="4"/>
        <v>540</v>
      </c>
      <c r="F13" s="5" t="str">
        <f t="shared" si="1"/>
        <v>420</v>
      </c>
      <c r="G13" s="8" t="str">
        <f t="shared" si="2"/>
        <v>56.3%</v>
      </c>
      <c r="H13" s="5" t="str">
        <f t="shared" si="3"/>
        <v>56.3%</v>
      </c>
    </row>
    <row r="14">
      <c r="A14" s="5">
        <v>10.0</v>
      </c>
      <c r="B14" s="5" t="s">
        <v>344</v>
      </c>
      <c r="C14" s="5">
        <v>60.0</v>
      </c>
      <c r="D14" s="6" t="s">
        <v>345</v>
      </c>
      <c r="E14" s="5" t="str">
        <f t="shared" si="4"/>
        <v>600</v>
      </c>
      <c r="F14" s="5" t="str">
        <f t="shared" si="1"/>
        <v>360</v>
      </c>
      <c r="G14" s="8" t="str">
        <f t="shared" si="2"/>
        <v>62.5%</v>
      </c>
      <c r="H14" s="5" t="str">
        <f t="shared" si="3"/>
        <v>62.5%</v>
      </c>
    </row>
    <row r="15">
      <c r="A15" s="5">
        <v>11.0</v>
      </c>
      <c r="B15" s="5" t="s">
        <v>344</v>
      </c>
      <c r="C15" s="5">
        <v>60.0</v>
      </c>
      <c r="D15" s="6" t="s">
        <v>346</v>
      </c>
      <c r="E15" s="5" t="str">
        <f t="shared" si="4"/>
        <v>660</v>
      </c>
      <c r="F15" s="5" t="str">
        <f t="shared" si="1"/>
        <v>300</v>
      </c>
      <c r="G15" s="8" t="str">
        <f t="shared" si="2"/>
        <v>68.8%</v>
      </c>
      <c r="H15" s="5" t="str">
        <f t="shared" si="3"/>
        <v>68.8%</v>
      </c>
    </row>
    <row r="16">
      <c r="A16" s="5">
        <v>12.0</v>
      </c>
      <c r="B16" s="5" t="s">
        <v>347</v>
      </c>
      <c r="C16" s="5">
        <v>60.0</v>
      </c>
      <c r="D16" s="6" t="s">
        <v>348</v>
      </c>
      <c r="E16" s="5" t="str">
        <f t="shared" si="4"/>
        <v>720</v>
      </c>
      <c r="F16" s="5" t="str">
        <f t="shared" si="1"/>
        <v>240</v>
      </c>
      <c r="G16" s="8" t="str">
        <f t="shared" si="2"/>
        <v>75.0%</v>
      </c>
      <c r="H16" s="5" t="str">
        <f t="shared" si="3"/>
        <v>75.0%</v>
      </c>
    </row>
    <row r="17">
      <c r="A17" s="5">
        <v>13.0</v>
      </c>
      <c r="B17" s="5" t="s">
        <v>347</v>
      </c>
      <c r="C17" s="5">
        <v>30.0</v>
      </c>
      <c r="D17" s="6" t="s">
        <v>349</v>
      </c>
      <c r="E17" s="5" t="str">
        <f t="shared" si="4"/>
        <v>750</v>
      </c>
      <c r="F17" s="5" t="str">
        <f t="shared" si="1"/>
        <v>210</v>
      </c>
      <c r="G17" s="8" t="str">
        <f t="shared" si="2"/>
        <v>78.1%</v>
      </c>
      <c r="H17" s="5" t="str">
        <f t="shared" si="3"/>
        <v>78.1%</v>
      </c>
    </row>
    <row r="18">
      <c r="A18" s="2"/>
      <c r="B18" s="2"/>
      <c r="C18" s="2"/>
      <c r="D18" s="2"/>
      <c r="E18" s="2"/>
      <c r="F18" s="2"/>
      <c r="G18" s="2"/>
      <c r="H18" s="2"/>
    </row>
    <row r="19">
      <c r="A19" s="2"/>
      <c r="B19" s="2"/>
      <c r="C19" s="2"/>
      <c r="D19" s="2"/>
      <c r="E19" s="2"/>
      <c r="F19" s="2"/>
      <c r="G19" s="2"/>
      <c r="H19" s="2"/>
    </row>
    <row r="20">
      <c r="A20" s="2"/>
      <c r="B20" s="2"/>
      <c r="C20" s="2"/>
      <c r="D20" s="2"/>
      <c r="E20" s="2"/>
      <c r="F20" s="2"/>
      <c r="G20" s="2"/>
      <c r="H20" s="2"/>
    </row>
    <row r="21" ht="15.75" customHeight="1">
      <c r="A21" s="2"/>
      <c r="B21" s="2"/>
      <c r="C21" s="2"/>
      <c r="D21" s="2"/>
      <c r="E21" s="2"/>
      <c r="F21" s="2"/>
      <c r="G21" s="2"/>
      <c r="H21" s="2"/>
    </row>
    <row r="22" ht="15.75" customHeight="1">
      <c r="A22" s="2"/>
      <c r="B22" s="2"/>
      <c r="C22" s="2"/>
      <c r="D22" s="2"/>
      <c r="E22" s="2"/>
      <c r="F22" s="2"/>
      <c r="G22" s="2"/>
      <c r="H22" s="2"/>
    </row>
    <row r="23" ht="15.75" customHeight="1">
      <c r="A23" s="2"/>
      <c r="B23" s="2"/>
      <c r="C23" s="2"/>
      <c r="D23" s="2"/>
      <c r="E23" s="2"/>
      <c r="F23" s="2"/>
      <c r="G23" s="2"/>
      <c r="H23" s="2"/>
    </row>
    <row r="24" ht="15.75" customHeight="1">
      <c r="A24" s="2"/>
      <c r="B24" s="2"/>
      <c r="C24" s="2"/>
      <c r="D24" s="2"/>
      <c r="E24" s="2"/>
      <c r="F24" s="2"/>
      <c r="G24" s="2"/>
      <c r="H24" s="2"/>
    </row>
    <row r="25" ht="15.75" customHeight="1">
      <c r="A25" s="2"/>
      <c r="B25" s="2"/>
      <c r="C25" s="2"/>
      <c r="D25" s="2"/>
      <c r="E25" s="2"/>
      <c r="F25" s="2"/>
      <c r="G25" s="2"/>
      <c r="H25" s="2"/>
    </row>
    <row r="26" ht="15.75" customHeight="1">
      <c r="A26" s="2"/>
      <c r="B26" s="2"/>
      <c r="C26" s="2"/>
      <c r="D26" s="2"/>
      <c r="E26" s="2"/>
      <c r="F26" s="2"/>
      <c r="G26" s="2"/>
      <c r="H26" s="2"/>
    </row>
    <row r="27" ht="15.75" customHeight="1">
      <c r="A27" s="2"/>
      <c r="B27" s="2"/>
      <c r="C27" s="2"/>
      <c r="D27" s="2"/>
      <c r="E27" s="2"/>
      <c r="F27" s="2"/>
      <c r="G27" s="2"/>
      <c r="H27" s="2"/>
    </row>
    <row r="28" ht="15.75" customHeight="1">
      <c r="A28" s="2"/>
      <c r="B28" s="2"/>
      <c r="C28" s="2"/>
      <c r="D28" s="2"/>
      <c r="E28" s="2"/>
      <c r="F28" s="2"/>
      <c r="G28" s="2"/>
      <c r="H28" s="2"/>
    </row>
    <row r="29" ht="15.75" customHeight="1">
      <c r="A29" s="2"/>
      <c r="B29" s="2"/>
      <c r="C29" s="2"/>
      <c r="D29" s="2"/>
      <c r="E29" s="2"/>
      <c r="F29" s="2"/>
      <c r="G29" s="2"/>
      <c r="H29" s="2"/>
    </row>
    <row r="30" ht="15.75" customHeight="1">
      <c r="A30" s="2"/>
      <c r="B30" s="2"/>
      <c r="C30" s="2"/>
      <c r="D30" s="2"/>
      <c r="E30" s="2"/>
      <c r="F30" s="2"/>
      <c r="G30" s="2"/>
      <c r="H30" s="2"/>
    </row>
    <row r="31" ht="15.75" customHeight="1">
      <c r="A31" s="2"/>
      <c r="B31" s="2"/>
      <c r="C31" s="2"/>
      <c r="D31" s="2"/>
      <c r="E31" s="2"/>
      <c r="F31" s="2"/>
      <c r="G31" s="2"/>
      <c r="H31" s="2"/>
    </row>
    <row r="32" ht="15.75" customHeight="1">
      <c r="A32" s="2"/>
      <c r="B32" s="2"/>
      <c r="C32" s="2"/>
      <c r="D32" s="2"/>
      <c r="E32" s="2"/>
      <c r="F32" s="2"/>
      <c r="G32" s="2"/>
      <c r="H32" s="2"/>
    </row>
    <row r="33" ht="15.75" customHeight="1">
      <c r="A33" s="2"/>
      <c r="B33" s="2"/>
      <c r="C33" s="2"/>
      <c r="D33" s="2"/>
      <c r="E33" s="2"/>
      <c r="F33" s="2"/>
      <c r="G33" s="2"/>
      <c r="H33" s="2"/>
    </row>
    <row r="34" ht="15.75" customHeight="1">
      <c r="A34" s="2"/>
      <c r="B34" s="2"/>
      <c r="C34" s="2"/>
      <c r="D34" s="2"/>
      <c r="E34" s="2"/>
      <c r="F34" s="2"/>
      <c r="G34" s="2"/>
      <c r="H34" s="2"/>
    </row>
    <row r="35" ht="15.75" customHeight="1">
      <c r="A35" s="2"/>
      <c r="B35" s="2"/>
      <c r="C35" s="2"/>
      <c r="D35" s="2"/>
      <c r="E35" s="2"/>
      <c r="F35" s="2"/>
      <c r="G35" s="2"/>
      <c r="H35" s="2"/>
    </row>
    <row r="36" ht="15.75" customHeight="1">
      <c r="A36" s="2"/>
      <c r="B36" s="2"/>
      <c r="C36" s="2"/>
      <c r="D36" s="2"/>
      <c r="E36" s="2"/>
      <c r="F36" s="2"/>
      <c r="G36" s="2"/>
      <c r="H36" s="2"/>
    </row>
    <row r="37" ht="15.75" customHeight="1">
      <c r="A37" s="2"/>
      <c r="B37" s="2"/>
      <c r="C37" s="2"/>
      <c r="D37" s="2"/>
      <c r="E37" s="2"/>
      <c r="F37" s="2"/>
      <c r="G37" s="2"/>
      <c r="H37" s="2"/>
    </row>
    <row r="38" ht="15.75" customHeight="1">
      <c r="A38" s="2"/>
      <c r="B38" s="2"/>
      <c r="C38" s="2"/>
      <c r="D38" s="2"/>
      <c r="E38" s="2"/>
      <c r="F38" s="2"/>
      <c r="G38" s="2"/>
      <c r="H38" s="2"/>
    </row>
    <row r="39" ht="15.75" customHeight="1">
      <c r="A39" s="2"/>
      <c r="B39" s="2"/>
      <c r="C39" s="2"/>
      <c r="D39" s="2"/>
      <c r="E39" s="2"/>
      <c r="F39" s="2"/>
      <c r="G39" s="2"/>
      <c r="H39" s="2"/>
    </row>
    <row r="40" ht="15.75" customHeight="1">
      <c r="A40" s="2"/>
      <c r="B40" s="2"/>
      <c r="C40" s="2"/>
      <c r="D40" s="2"/>
      <c r="E40" s="2"/>
      <c r="F40" s="2"/>
      <c r="G40" s="2"/>
      <c r="H40" s="2"/>
    </row>
    <row r="41" ht="15.75" customHeight="1">
      <c r="A41" s="2"/>
      <c r="B41" s="2"/>
      <c r="C41" s="2"/>
      <c r="D41" s="2"/>
      <c r="E41" s="2"/>
      <c r="F41" s="2"/>
      <c r="G41" s="2"/>
      <c r="H41" s="2"/>
    </row>
    <row r="42" ht="15.75" customHeight="1">
      <c r="A42" s="2"/>
      <c r="B42" s="2"/>
      <c r="C42" s="2"/>
      <c r="D42" s="2"/>
      <c r="E42" s="2"/>
      <c r="F42" s="2"/>
      <c r="G42" s="2"/>
      <c r="H42" s="2"/>
    </row>
    <row r="43" ht="15.75" customHeight="1">
      <c r="A43" s="2"/>
      <c r="B43" s="2"/>
      <c r="C43" s="2"/>
      <c r="D43" s="2"/>
      <c r="E43" s="2"/>
      <c r="F43" s="2"/>
      <c r="G43" s="2"/>
      <c r="H43" s="2"/>
    </row>
    <row r="44" ht="15.75" customHeight="1">
      <c r="A44" s="2"/>
      <c r="B44" s="2"/>
      <c r="C44" s="2"/>
      <c r="D44" s="2"/>
      <c r="E44" s="2"/>
      <c r="F44" s="2"/>
      <c r="G44" s="2"/>
      <c r="H44" s="2"/>
    </row>
    <row r="45" ht="15.75" customHeight="1">
      <c r="A45" s="2"/>
      <c r="B45" s="2"/>
      <c r="C45" s="2"/>
      <c r="D45" s="2"/>
      <c r="E45" s="2"/>
      <c r="F45" s="2"/>
      <c r="G45" s="2"/>
      <c r="H45" s="2"/>
    </row>
    <row r="46" ht="15.75" customHeight="1">
      <c r="A46" s="2"/>
      <c r="B46" s="2"/>
      <c r="C46" s="2"/>
      <c r="D46" s="2"/>
      <c r="E46" s="2"/>
      <c r="F46" s="2"/>
      <c r="G46" s="2"/>
      <c r="H46" s="2"/>
    </row>
    <row r="47" ht="15.75" customHeight="1">
      <c r="A47" s="2"/>
      <c r="B47" s="2"/>
      <c r="C47" s="2"/>
      <c r="D47" s="2"/>
      <c r="E47" s="2"/>
      <c r="F47" s="2"/>
      <c r="G47" s="2"/>
      <c r="H47" s="2"/>
    </row>
    <row r="48" ht="15.75" customHeight="1">
      <c r="A48" s="2"/>
      <c r="B48" s="2"/>
      <c r="C48" s="2"/>
      <c r="D48" s="2"/>
      <c r="E48" s="2"/>
      <c r="F48" s="2"/>
      <c r="G48" s="2"/>
      <c r="H48" s="2"/>
    </row>
    <row r="49" ht="15.75" customHeight="1">
      <c r="A49" s="2"/>
      <c r="B49" s="2"/>
      <c r="C49" s="2"/>
      <c r="D49" s="2"/>
      <c r="E49" s="2"/>
      <c r="F49" s="2"/>
      <c r="G49" s="2"/>
      <c r="H49" s="2"/>
    </row>
    <row r="50" ht="15.75" customHeight="1">
      <c r="A50" s="2"/>
      <c r="B50" s="2"/>
      <c r="C50" s="2"/>
      <c r="D50" s="2"/>
      <c r="E50" s="2"/>
      <c r="F50" s="2"/>
      <c r="G50" s="2"/>
      <c r="H50" s="2"/>
    </row>
    <row r="51" ht="15.75" customHeight="1">
      <c r="A51" s="2"/>
      <c r="B51" s="2"/>
      <c r="C51" s="2"/>
      <c r="D51" s="2"/>
      <c r="E51" s="2"/>
      <c r="F51" s="2"/>
      <c r="G51" s="2"/>
      <c r="H51" s="2"/>
    </row>
    <row r="52" ht="15.75" customHeight="1">
      <c r="A52" s="2"/>
      <c r="B52" s="2"/>
      <c r="C52" s="2"/>
      <c r="D52" s="2"/>
      <c r="E52" s="2"/>
      <c r="F52" s="2"/>
      <c r="G52" s="2"/>
      <c r="H52" s="2"/>
    </row>
    <row r="53" ht="15.75" customHeight="1">
      <c r="A53" s="2"/>
      <c r="B53" s="2"/>
      <c r="C53" s="2"/>
      <c r="D53" s="2"/>
      <c r="E53" s="2"/>
      <c r="F53" s="2"/>
      <c r="G53" s="2"/>
      <c r="H53" s="2"/>
    </row>
    <row r="54" ht="15.75" customHeight="1">
      <c r="A54" s="2"/>
      <c r="B54" s="2"/>
      <c r="C54" s="2"/>
      <c r="D54" s="2"/>
      <c r="E54" s="2"/>
      <c r="F54" s="2"/>
      <c r="G54" s="2"/>
      <c r="H54" s="2"/>
    </row>
    <row r="55" ht="15.75" customHeight="1">
      <c r="A55" s="2"/>
      <c r="B55" s="2"/>
      <c r="C55" s="2"/>
      <c r="D55" s="2"/>
      <c r="E55" s="2"/>
      <c r="F55" s="2"/>
      <c r="G55" s="2"/>
      <c r="H55" s="2"/>
    </row>
    <row r="56" ht="15.75" customHeight="1">
      <c r="A56" s="2"/>
      <c r="B56" s="2"/>
      <c r="C56" s="2"/>
      <c r="D56" s="2"/>
      <c r="E56" s="2"/>
      <c r="F56" s="2"/>
      <c r="G56" s="2"/>
      <c r="H56" s="2"/>
    </row>
    <row r="57" ht="15.75" customHeight="1">
      <c r="A57" s="2"/>
      <c r="B57" s="2"/>
      <c r="C57" s="2"/>
      <c r="D57" s="2"/>
      <c r="E57" s="2"/>
      <c r="F57" s="2"/>
      <c r="G57" s="2"/>
      <c r="H57" s="2"/>
    </row>
    <row r="58" ht="15.75" customHeight="1">
      <c r="A58" s="2"/>
      <c r="B58" s="2"/>
      <c r="C58" s="2"/>
      <c r="D58" s="2"/>
      <c r="E58" s="2"/>
      <c r="F58" s="2"/>
      <c r="G58" s="2"/>
      <c r="H58" s="2"/>
    </row>
    <row r="59" ht="15.75" customHeight="1">
      <c r="A59" s="2"/>
      <c r="B59" s="2"/>
      <c r="C59" s="2"/>
      <c r="D59" s="2"/>
      <c r="E59" s="2"/>
      <c r="F59" s="2"/>
      <c r="G59" s="2"/>
      <c r="H59" s="2"/>
    </row>
    <row r="60" ht="15.75" customHeight="1">
      <c r="A60" s="2"/>
      <c r="B60" s="2"/>
      <c r="C60" s="2"/>
      <c r="D60" s="2"/>
      <c r="E60" s="2"/>
      <c r="F60" s="2"/>
      <c r="G60" s="2"/>
      <c r="H60" s="2"/>
    </row>
    <row r="61" ht="15.75" customHeight="1">
      <c r="A61" s="2"/>
      <c r="B61" s="2"/>
      <c r="C61" s="2"/>
      <c r="D61" s="2"/>
      <c r="E61" s="2"/>
      <c r="F61" s="2"/>
      <c r="G61" s="2"/>
      <c r="H61" s="2"/>
    </row>
    <row r="62" ht="15.75" customHeight="1">
      <c r="A62" s="2"/>
      <c r="B62" s="2"/>
      <c r="C62" s="2"/>
      <c r="D62" s="2"/>
      <c r="E62" s="2"/>
      <c r="F62" s="2"/>
      <c r="G62" s="2"/>
      <c r="H62" s="2"/>
    </row>
    <row r="63" ht="15.75" customHeight="1">
      <c r="A63" s="2"/>
      <c r="B63" s="2"/>
      <c r="C63" s="2"/>
      <c r="D63" s="2"/>
      <c r="E63" s="2"/>
      <c r="F63" s="2"/>
      <c r="G63" s="2"/>
      <c r="H63" s="2"/>
    </row>
    <row r="64" ht="15.75" customHeight="1">
      <c r="A64" s="2"/>
      <c r="B64" s="2"/>
      <c r="C64" s="2"/>
      <c r="D64" s="2"/>
      <c r="E64" s="2"/>
      <c r="F64" s="2"/>
      <c r="G64" s="2"/>
      <c r="H64" s="2"/>
    </row>
    <row r="65" ht="15.75" customHeight="1">
      <c r="A65" s="2"/>
      <c r="B65" s="2"/>
      <c r="C65" s="2"/>
      <c r="D65" s="2"/>
      <c r="E65" s="2"/>
      <c r="F65" s="2"/>
      <c r="G65" s="2"/>
      <c r="H65" s="2"/>
    </row>
    <row r="66" ht="15.75" customHeight="1">
      <c r="A66" s="2"/>
      <c r="B66" s="2"/>
      <c r="C66" s="2"/>
      <c r="D66" s="2"/>
      <c r="E66" s="2"/>
      <c r="F66" s="2"/>
      <c r="G66" s="2"/>
      <c r="H66" s="2"/>
    </row>
    <row r="67" ht="15.75" customHeight="1">
      <c r="A67" s="2"/>
      <c r="B67" s="2"/>
      <c r="C67" s="2"/>
      <c r="D67" s="2"/>
      <c r="E67" s="2"/>
      <c r="F67" s="2"/>
      <c r="G67" s="2"/>
      <c r="H67" s="2"/>
    </row>
    <row r="68" ht="15.75" customHeight="1">
      <c r="A68" s="2"/>
      <c r="B68" s="2"/>
      <c r="C68" s="2"/>
      <c r="D68" s="2"/>
      <c r="E68" s="2"/>
      <c r="F68" s="2"/>
      <c r="G68" s="2"/>
      <c r="H68" s="2"/>
    </row>
    <row r="69" ht="15.75" customHeight="1">
      <c r="A69" s="2"/>
      <c r="B69" s="2"/>
      <c r="C69" s="2"/>
      <c r="D69" s="2"/>
      <c r="E69" s="2"/>
      <c r="F69" s="2"/>
      <c r="G69" s="2"/>
      <c r="H69" s="2"/>
    </row>
    <row r="70" ht="15.75" customHeight="1">
      <c r="A70" s="2"/>
      <c r="B70" s="2"/>
      <c r="C70" s="2"/>
      <c r="D70" s="2"/>
      <c r="E70" s="2"/>
      <c r="F70" s="2"/>
      <c r="G70" s="2"/>
      <c r="H70" s="2"/>
    </row>
    <row r="71" ht="15.75" customHeight="1">
      <c r="A71" s="2"/>
      <c r="B71" s="2"/>
      <c r="C71" s="2"/>
      <c r="D71" s="2"/>
      <c r="E71" s="2"/>
      <c r="F71" s="2"/>
      <c r="G71" s="2"/>
      <c r="H71" s="2"/>
    </row>
    <row r="72" ht="15.75" customHeight="1">
      <c r="A72" s="2"/>
      <c r="B72" s="2"/>
      <c r="C72" s="2"/>
      <c r="D72" s="2"/>
      <c r="E72" s="2"/>
      <c r="F72" s="2"/>
      <c r="G72" s="2"/>
      <c r="H72" s="2"/>
    </row>
    <row r="73" ht="15.75" customHeight="1">
      <c r="A73" s="2"/>
      <c r="B73" s="2"/>
      <c r="C73" s="2"/>
      <c r="D73" s="2"/>
      <c r="E73" s="2"/>
      <c r="F73" s="2"/>
      <c r="G73" s="2"/>
      <c r="H73" s="2"/>
    </row>
    <row r="74" ht="15.75" customHeight="1">
      <c r="A74" s="2"/>
      <c r="B74" s="2"/>
      <c r="C74" s="2"/>
      <c r="D74" s="2"/>
      <c r="E74" s="2"/>
      <c r="F74" s="2"/>
      <c r="G74" s="2"/>
      <c r="H74" s="2"/>
    </row>
    <row r="75" ht="15.75" customHeight="1">
      <c r="A75" s="2"/>
      <c r="B75" s="2"/>
      <c r="C75" s="2"/>
      <c r="D75" s="2"/>
      <c r="E75" s="2"/>
      <c r="F75" s="2"/>
      <c r="G75" s="2"/>
      <c r="H75" s="2"/>
    </row>
    <row r="76" ht="15.75" customHeight="1">
      <c r="A76" s="2"/>
      <c r="B76" s="2"/>
      <c r="C76" s="2"/>
      <c r="D76" s="2"/>
      <c r="E76" s="2"/>
      <c r="F76" s="2"/>
      <c r="G76" s="2"/>
      <c r="H76" s="2"/>
    </row>
    <row r="77" ht="15.75" customHeight="1">
      <c r="A77" s="2"/>
      <c r="B77" s="2"/>
      <c r="C77" s="2"/>
      <c r="D77" s="2"/>
      <c r="E77" s="2"/>
      <c r="F77" s="2"/>
      <c r="G77" s="2"/>
      <c r="H77" s="2"/>
    </row>
    <row r="78" ht="15.75" customHeight="1">
      <c r="A78" s="2"/>
      <c r="B78" s="2"/>
      <c r="C78" s="2"/>
      <c r="D78" s="2"/>
      <c r="E78" s="2"/>
      <c r="F78" s="2"/>
      <c r="G78" s="2"/>
      <c r="H78" s="2"/>
    </row>
    <row r="79" ht="15.75" customHeight="1">
      <c r="A79" s="2"/>
      <c r="B79" s="2"/>
      <c r="C79" s="2"/>
      <c r="D79" s="2"/>
      <c r="E79" s="2"/>
      <c r="F79" s="2"/>
      <c r="G79" s="2"/>
      <c r="H79" s="2"/>
    </row>
    <row r="80" ht="15.75" customHeight="1">
      <c r="A80" s="2"/>
      <c r="B80" s="2"/>
      <c r="C80" s="2"/>
      <c r="D80" s="2"/>
      <c r="E80" s="2"/>
      <c r="F80" s="2"/>
      <c r="G80" s="2"/>
      <c r="H80" s="2"/>
    </row>
    <row r="81" ht="15.75" customHeight="1">
      <c r="A81" s="2"/>
      <c r="B81" s="2"/>
      <c r="C81" s="2"/>
      <c r="D81" s="2"/>
      <c r="E81" s="2"/>
      <c r="F81" s="2"/>
      <c r="G81" s="2"/>
      <c r="H81" s="2"/>
    </row>
    <row r="82" ht="15.75" customHeight="1">
      <c r="A82" s="2"/>
      <c r="B82" s="2"/>
      <c r="C82" s="2"/>
      <c r="D82" s="2"/>
      <c r="E82" s="2"/>
      <c r="F82" s="2"/>
      <c r="G82" s="2"/>
      <c r="H82" s="2"/>
    </row>
    <row r="83" ht="15.75" customHeight="1">
      <c r="A83" s="2"/>
      <c r="B83" s="2"/>
      <c r="C83" s="2"/>
      <c r="D83" s="2"/>
      <c r="E83" s="2"/>
      <c r="F83" s="2"/>
      <c r="G83" s="2"/>
      <c r="H83" s="2"/>
    </row>
    <row r="84" ht="15.75" customHeight="1">
      <c r="A84" s="2"/>
      <c r="B84" s="2"/>
      <c r="C84" s="2"/>
      <c r="D84" s="2"/>
      <c r="E84" s="2"/>
      <c r="F84" s="2"/>
      <c r="G84" s="2"/>
      <c r="H84" s="2"/>
    </row>
    <row r="85" ht="15.75" customHeight="1">
      <c r="A85" s="2"/>
      <c r="B85" s="2"/>
      <c r="C85" s="2"/>
      <c r="D85" s="2"/>
      <c r="E85" s="2"/>
      <c r="F85" s="2"/>
      <c r="G85" s="2"/>
      <c r="H85" s="2"/>
    </row>
    <row r="86" ht="15.75" customHeight="1">
      <c r="A86" s="2"/>
      <c r="B86" s="2"/>
      <c r="C86" s="2"/>
      <c r="D86" s="2"/>
      <c r="E86" s="2"/>
      <c r="F86" s="2"/>
      <c r="G86" s="2"/>
      <c r="H86" s="2"/>
    </row>
    <row r="87" ht="15.75" customHeight="1">
      <c r="A87" s="2"/>
      <c r="B87" s="2"/>
      <c r="C87" s="2"/>
      <c r="D87" s="2"/>
      <c r="E87" s="2"/>
      <c r="F87" s="2"/>
      <c r="G87" s="2"/>
      <c r="H87" s="2"/>
    </row>
    <row r="88" ht="15.75" customHeight="1">
      <c r="A88" s="2"/>
      <c r="B88" s="2"/>
      <c r="C88" s="2"/>
      <c r="D88" s="2"/>
      <c r="E88" s="2"/>
      <c r="F88" s="2"/>
      <c r="G88" s="2"/>
      <c r="H88" s="2"/>
    </row>
    <row r="89" ht="15.75" customHeight="1">
      <c r="A89" s="2"/>
      <c r="B89" s="2"/>
      <c r="C89" s="2"/>
      <c r="D89" s="2"/>
      <c r="E89" s="2"/>
      <c r="F89" s="2"/>
      <c r="G89" s="2"/>
      <c r="H89" s="2"/>
    </row>
    <row r="90" ht="15.75" customHeight="1">
      <c r="A90" s="2"/>
      <c r="B90" s="2"/>
      <c r="C90" s="2"/>
      <c r="D90" s="2"/>
      <c r="E90" s="2"/>
      <c r="F90" s="2"/>
      <c r="G90" s="2"/>
      <c r="H90" s="2"/>
    </row>
    <row r="91" ht="15.75" customHeight="1">
      <c r="A91" s="2"/>
      <c r="B91" s="2"/>
      <c r="C91" s="2"/>
      <c r="D91" s="2"/>
      <c r="E91" s="2"/>
      <c r="F91" s="2"/>
      <c r="G91" s="2"/>
      <c r="H91" s="2"/>
    </row>
    <row r="92" ht="15.75" customHeight="1">
      <c r="A92" s="2"/>
      <c r="B92" s="2"/>
      <c r="C92" s="2"/>
      <c r="D92" s="2"/>
      <c r="E92" s="2"/>
      <c r="F92" s="2"/>
      <c r="G92" s="2"/>
      <c r="H92" s="2"/>
    </row>
    <row r="93" ht="15.75" customHeight="1">
      <c r="A93" s="2"/>
      <c r="B93" s="2"/>
      <c r="C93" s="2"/>
      <c r="D93" s="2"/>
      <c r="E93" s="2"/>
      <c r="F93" s="2"/>
      <c r="G93" s="2"/>
      <c r="H93" s="2"/>
    </row>
    <row r="94" ht="15.75" customHeight="1">
      <c r="A94" s="2"/>
      <c r="B94" s="2"/>
      <c r="C94" s="2"/>
      <c r="D94" s="2"/>
      <c r="E94" s="2"/>
      <c r="F94" s="2"/>
      <c r="G94" s="2"/>
      <c r="H94" s="2"/>
    </row>
    <row r="95" ht="15.75" customHeight="1">
      <c r="A95" s="2"/>
      <c r="B95" s="2"/>
      <c r="C95" s="2"/>
      <c r="D95" s="2"/>
      <c r="E95" s="2"/>
      <c r="F95" s="2"/>
      <c r="G95" s="2"/>
      <c r="H95" s="2"/>
    </row>
    <row r="96" ht="15.75" customHeight="1">
      <c r="A96" s="2"/>
      <c r="B96" s="2"/>
      <c r="C96" s="2"/>
      <c r="D96" s="2"/>
      <c r="E96" s="2"/>
      <c r="F96" s="2"/>
      <c r="G96" s="2"/>
      <c r="H96" s="2"/>
    </row>
    <row r="97" ht="15.75" customHeight="1">
      <c r="A97" s="2"/>
      <c r="B97" s="2"/>
      <c r="C97" s="2"/>
      <c r="D97" s="2"/>
      <c r="E97" s="2"/>
      <c r="F97" s="2"/>
      <c r="G97" s="2"/>
      <c r="H97" s="2"/>
    </row>
    <row r="98" ht="15.75" customHeight="1">
      <c r="A98" s="2"/>
      <c r="B98" s="2"/>
      <c r="C98" s="2"/>
      <c r="D98" s="2"/>
      <c r="E98" s="2"/>
      <c r="F98" s="2"/>
      <c r="G98" s="2"/>
      <c r="H98" s="2"/>
    </row>
    <row r="99" ht="15.75" customHeight="1">
      <c r="A99" s="2"/>
      <c r="B99" s="2"/>
      <c r="C99" s="2"/>
      <c r="D99" s="2"/>
      <c r="E99" s="2"/>
      <c r="F99" s="2"/>
      <c r="G99" s="2"/>
      <c r="H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</row>
  </sheetData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4.0"/>
    <col customWidth="1" min="3" max="3" width="22.0"/>
    <col customWidth="1" min="4" max="4" width="30.0"/>
    <col customWidth="1" min="5" max="5" width="18.0"/>
    <col customWidth="1" min="6" max="6" width="13.0"/>
    <col customWidth="1" min="7" max="7" width="20.0"/>
    <col customWidth="1" min="8" max="8" width="24.0"/>
  </cols>
  <sheetData>
    <row r="1">
      <c r="A1" s="18" t="s">
        <v>350</v>
      </c>
      <c r="B1" s="2"/>
      <c r="C1" s="2"/>
      <c r="D1" s="2"/>
      <c r="E1" s="2"/>
      <c r="F1" s="2"/>
      <c r="G1" s="2"/>
      <c r="H1" s="2"/>
    </row>
    <row r="2">
      <c r="A2" s="19" t="s">
        <v>351</v>
      </c>
      <c r="B2" s="2"/>
      <c r="C2" s="2"/>
      <c r="D2" s="2"/>
      <c r="E2" s="2"/>
      <c r="F2" s="2"/>
      <c r="G2" s="2"/>
      <c r="H2" s="2"/>
    </row>
    <row r="3">
      <c r="A3" s="2"/>
      <c r="B3" s="2"/>
      <c r="C3" s="2"/>
      <c r="D3" s="2"/>
      <c r="E3" s="2"/>
      <c r="F3" s="2"/>
      <c r="G3" s="2"/>
      <c r="H3" s="2"/>
    </row>
    <row r="4">
      <c r="A4" s="20" t="s">
        <v>81</v>
      </c>
      <c r="B4" s="20" t="s">
        <v>82</v>
      </c>
      <c r="C4" s="20" t="s">
        <v>83</v>
      </c>
      <c r="D4" s="20" t="s">
        <v>84</v>
      </c>
      <c r="E4" s="20" t="s">
        <v>85</v>
      </c>
      <c r="F4" s="20" t="s">
        <v>86</v>
      </c>
      <c r="G4" s="20" t="s">
        <v>87</v>
      </c>
      <c r="H4" s="20" t="s">
        <v>9</v>
      </c>
    </row>
    <row r="5">
      <c r="A5" s="5">
        <v>1.0</v>
      </c>
      <c r="B5" s="5" t="s">
        <v>41</v>
      </c>
      <c r="C5" s="5">
        <v>90.0</v>
      </c>
      <c r="D5" s="6" t="s">
        <v>91</v>
      </c>
      <c r="E5" s="5" t="str">
        <f>C5</f>
        <v>90</v>
      </c>
      <c r="F5" s="5" t="str">
        <f t="shared" ref="F5:F16" si="1">14700-E5</f>
        <v>14610</v>
      </c>
      <c r="G5" s="8" t="str">
        <f t="shared" ref="G5:G16" si="2">E5/14700</f>
        <v>0.6%</v>
      </c>
      <c r="H5" s="5" t="str">
        <f t="shared" ref="H5:H16" si="3">IF(G5&gt;=1, "100.0% (Package Over)", TEXT(MIN(G5*100, 99.9), "0.0") &amp; "%")</f>
        <v>0.6%</v>
      </c>
    </row>
    <row r="6">
      <c r="A6" s="5">
        <v>2.0</v>
      </c>
      <c r="B6" s="5" t="s">
        <v>41</v>
      </c>
      <c r="C6" s="5">
        <v>0.0</v>
      </c>
      <c r="D6" s="6" t="s">
        <v>352</v>
      </c>
      <c r="E6" s="5" t="str">
        <f t="shared" ref="E6:E16" si="4">E5+C6</f>
        <v>90</v>
      </c>
      <c r="F6" s="5" t="str">
        <f t="shared" si="1"/>
        <v>14610</v>
      </c>
      <c r="G6" s="8" t="str">
        <f t="shared" si="2"/>
        <v>0.6%</v>
      </c>
      <c r="H6" s="5" t="str">
        <f t="shared" si="3"/>
        <v>0.6%</v>
      </c>
    </row>
    <row r="7">
      <c r="A7" s="5">
        <v>3.0</v>
      </c>
      <c r="B7" s="5" t="s">
        <v>126</v>
      </c>
      <c r="C7" s="5">
        <v>90.0</v>
      </c>
      <c r="D7" s="6" t="s">
        <v>91</v>
      </c>
      <c r="E7" s="5" t="str">
        <f t="shared" si="4"/>
        <v>180</v>
      </c>
      <c r="F7" s="5" t="str">
        <f t="shared" si="1"/>
        <v>14520</v>
      </c>
      <c r="G7" s="8" t="str">
        <f t="shared" si="2"/>
        <v>1.2%</v>
      </c>
      <c r="H7" s="5" t="str">
        <f t="shared" si="3"/>
        <v>1.2%</v>
      </c>
    </row>
    <row r="8">
      <c r="A8" s="5">
        <v>4.0</v>
      </c>
      <c r="B8" s="5" t="s">
        <v>126</v>
      </c>
      <c r="C8" s="5">
        <v>90.0</v>
      </c>
      <c r="D8" s="6" t="s">
        <v>353</v>
      </c>
      <c r="E8" s="5" t="str">
        <f t="shared" si="4"/>
        <v>270</v>
      </c>
      <c r="F8" s="5" t="str">
        <f t="shared" si="1"/>
        <v>14430</v>
      </c>
      <c r="G8" s="8" t="str">
        <f t="shared" si="2"/>
        <v>1.8%</v>
      </c>
      <c r="H8" s="5" t="str">
        <f t="shared" si="3"/>
        <v>1.8%</v>
      </c>
    </row>
    <row r="9">
      <c r="A9" s="5">
        <v>5.0</v>
      </c>
      <c r="B9" s="5" t="s">
        <v>354</v>
      </c>
      <c r="C9" s="5">
        <v>90.0</v>
      </c>
      <c r="D9" s="6" t="s">
        <v>353</v>
      </c>
      <c r="E9" s="5" t="str">
        <f t="shared" si="4"/>
        <v>360</v>
      </c>
      <c r="F9" s="5" t="str">
        <f t="shared" si="1"/>
        <v>14340</v>
      </c>
      <c r="G9" s="8" t="str">
        <f t="shared" si="2"/>
        <v>2.4%</v>
      </c>
      <c r="H9" s="5" t="str">
        <f t="shared" si="3"/>
        <v>2.4%</v>
      </c>
    </row>
    <row r="10">
      <c r="A10" s="5">
        <v>6.0</v>
      </c>
      <c r="B10" s="5" t="s">
        <v>354</v>
      </c>
      <c r="C10" s="5">
        <v>30.0</v>
      </c>
      <c r="D10" s="6" t="s">
        <v>91</v>
      </c>
      <c r="E10" s="5" t="str">
        <f t="shared" si="4"/>
        <v>390</v>
      </c>
      <c r="F10" s="5" t="str">
        <f t="shared" si="1"/>
        <v>14310</v>
      </c>
      <c r="G10" s="8" t="str">
        <f t="shared" si="2"/>
        <v>2.7%</v>
      </c>
      <c r="H10" s="5" t="str">
        <f t="shared" si="3"/>
        <v>2.7%</v>
      </c>
    </row>
    <row r="11">
      <c r="A11" s="5">
        <v>7.0</v>
      </c>
      <c r="B11" s="5" t="s">
        <v>355</v>
      </c>
      <c r="C11" s="5">
        <v>60.0</v>
      </c>
      <c r="D11" s="6" t="s">
        <v>91</v>
      </c>
      <c r="E11" s="5" t="str">
        <f t="shared" si="4"/>
        <v>450</v>
      </c>
      <c r="F11" s="5" t="str">
        <f t="shared" si="1"/>
        <v>14250</v>
      </c>
      <c r="G11" s="8" t="str">
        <f t="shared" si="2"/>
        <v>3.1%</v>
      </c>
      <c r="H11" s="5" t="str">
        <f t="shared" si="3"/>
        <v>3.1%</v>
      </c>
    </row>
    <row r="12">
      <c r="A12" s="5">
        <v>8.0</v>
      </c>
      <c r="B12" s="5" t="s">
        <v>356</v>
      </c>
      <c r="C12" s="5">
        <v>60.0</v>
      </c>
      <c r="D12" s="6" t="s">
        <v>130</v>
      </c>
      <c r="E12" s="5" t="str">
        <f t="shared" si="4"/>
        <v>510</v>
      </c>
      <c r="F12" s="5" t="str">
        <f t="shared" si="1"/>
        <v>14190</v>
      </c>
      <c r="G12" s="8" t="str">
        <f t="shared" si="2"/>
        <v>3.5%</v>
      </c>
      <c r="H12" s="5" t="str">
        <f t="shared" si="3"/>
        <v>3.5%</v>
      </c>
    </row>
    <row r="13">
      <c r="A13" s="5">
        <v>9.0</v>
      </c>
      <c r="B13" s="5" t="s">
        <v>357</v>
      </c>
      <c r="C13" s="5">
        <v>2950.0</v>
      </c>
      <c r="D13" s="6" t="s">
        <v>358</v>
      </c>
      <c r="E13" s="5" t="str">
        <f t="shared" si="4"/>
        <v>3460</v>
      </c>
      <c r="F13" s="5" t="str">
        <f t="shared" si="1"/>
        <v>11240</v>
      </c>
      <c r="G13" s="8" t="str">
        <f t="shared" si="2"/>
        <v>23.5%</v>
      </c>
      <c r="H13" s="5" t="str">
        <f t="shared" si="3"/>
        <v>23.5%</v>
      </c>
    </row>
    <row r="14">
      <c r="A14" s="5">
        <v>10.0</v>
      </c>
      <c r="B14" s="5" t="s">
        <v>357</v>
      </c>
      <c r="C14" s="5">
        <v>2950.0</v>
      </c>
      <c r="D14" s="6" t="s">
        <v>358</v>
      </c>
      <c r="E14" s="5" t="str">
        <f t="shared" si="4"/>
        <v>6410</v>
      </c>
      <c r="F14" s="5" t="str">
        <f t="shared" si="1"/>
        <v>8290</v>
      </c>
      <c r="G14" s="8" t="str">
        <f t="shared" si="2"/>
        <v>43.6%</v>
      </c>
      <c r="H14" s="5" t="str">
        <f t="shared" si="3"/>
        <v>43.6%</v>
      </c>
    </row>
    <row r="15">
      <c r="A15" s="5">
        <v>11.0</v>
      </c>
      <c r="B15" s="5" t="s">
        <v>356</v>
      </c>
      <c r="C15" s="5">
        <v>3950.0</v>
      </c>
      <c r="D15" s="6" t="s">
        <v>359</v>
      </c>
      <c r="E15" s="5" t="str">
        <f t="shared" si="4"/>
        <v>10360</v>
      </c>
      <c r="F15" s="5" t="str">
        <f t="shared" si="1"/>
        <v>4340</v>
      </c>
      <c r="G15" s="8" t="str">
        <f t="shared" si="2"/>
        <v>70.5%</v>
      </c>
      <c r="H15" s="5" t="str">
        <f t="shared" si="3"/>
        <v>70.5%</v>
      </c>
    </row>
    <row r="16">
      <c r="A16" s="5">
        <v>12.0</v>
      </c>
      <c r="B16" s="5" t="s">
        <v>356</v>
      </c>
      <c r="C16" s="5">
        <v>3950.0</v>
      </c>
      <c r="D16" s="6" t="s">
        <v>360</v>
      </c>
      <c r="E16" s="5" t="str">
        <f t="shared" si="4"/>
        <v>14310</v>
      </c>
      <c r="F16" s="5" t="str">
        <f t="shared" si="1"/>
        <v>390</v>
      </c>
      <c r="G16" s="8" t="str">
        <f t="shared" si="2"/>
        <v>97.3%</v>
      </c>
      <c r="H16" s="5" t="str">
        <f t="shared" si="3"/>
        <v>97.3%</v>
      </c>
    </row>
    <row r="17">
      <c r="A17" s="2"/>
      <c r="B17" s="2"/>
      <c r="C17" s="2"/>
      <c r="D17" s="2"/>
      <c r="E17" s="2"/>
      <c r="F17" s="2"/>
      <c r="G17" s="2"/>
      <c r="H17" s="2"/>
    </row>
    <row r="18">
      <c r="A18" s="2"/>
      <c r="B18" s="2"/>
      <c r="C18" s="2"/>
      <c r="D18" s="2"/>
      <c r="E18" s="2"/>
      <c r="F18" s="2"/>
      <c r="G18" s="2"/>
      <c r="H18" s="2"/>
    </row>
    <row r="19">
      <c r="A19" s="2"/>
      <c r="B19" s="2"/>
      <c r="C19" s="2"/>
      <c r="D19" s="2"/>
      <c r="E19" s="2"/>
      <c r="F19" s="2"/>
      <c r="G19" s="2"/>
      <c r="H19" s="2"/>
    </row>
    <row r="20">
      <c r="A20" s="2"/>
      <c r="B20" s="2"/>
      <c r="C20" s="2"/>
      <c r="D20" s="2"/>
      <c r="E20" s="2"/>
      <c r="F20" s="2"/>
      <c r="G20" s="2"/>
      <c r="H20" s="2"/>
    </row>
    <row r="21" ht="15.75" customHeight="1">
      <c r="A21" s="2"/>
      <c r="B21" s="2"/>
      <c r="C21" s="2"/>
      <c r="D21" s="2"/>
      <c r="E21" s="2"/>
      <c r="F21" s="2"/>
      <c r="G21" s="2"/>
      <c r="H21" s="2"/>
    </row>
    <row r="22" ht="15.75" customHeight="1">
      <c r="A22" s="2"/>
      <c r="B22" s="2"/>
      <c r="C22" s="2"/>
      <c r="D22" s="2"/>
      <c r="E22" s="2"/>
      <c r="F22" s="2"/>
      <c r="G22" s="2"/>
      <c r="H22" s="2"/>
    </row>
    <row r="23" ht="15.75" customHeight="1">
      <c r="A23" s="2"/>
      <c r="B23" s="2"/>
      <c r="C23" s="2"/>
      <c r="D23" s="2"/>
      <c r="E23" s="2"/>
      <c r="F23" s="2"/>
      <c r="G23" s="2"/>
      <c r="H23" s="2"/>
    </row>
    <row r="24" ht="15.75" customHeight="1">
      <c r="A24" s="2"/>
      <c r="B24" s="2"/>
      <c r="C24" s="2"/>
      <c r="D24" s="2"/>
      <c r="E24" s="2"/>
      <c r="F24" s="2"/>
      <c r="G24" s="2"/>
      <c r="H24" s="2"/>
    </row>
    <row r="25" ht="15.75" customHeight="1">
      <c r="A25" s="2"/>
      <c r="B25" s="2"/>
      <c r="C25" s="2"/>
      <c r="D25" s="2"/>
      <c r="E25" s="2"/>
      <c r="F25" s="2"/>
      <c r="G25" s="2"/>
      <c r="H25" s="2"/>
    </row>
    <row r="26" ht="15.75" customHeight="1">
      <c r="A26" s="2"/>
      <c r="B26" s="2"/>
      <c r="C26" s="2"/>
      <c r="D26" s="2"/>
      <c r="E26" s="2"/>
      <c r="F26" s="2"/>
      <c r="G26" s="2"/>
      <c r="H26" s="2"/>
    </row>
    <row r="27" ht="15.75" customHeight="1">
      <c r="A27" s="2"/>
      <c r="B27" s="2"/>
      <c r="C27" s="2"/>
      <c r="D27" s="2"/>
      <c r="E27" s="2"/>
      <c r="F27" s="2"/>
      <c r="G27" s="2"/>
      <c r="H27" s="2"/>
    </row>
    <row r="28" ht="15.75" customHeight="1">
      <c r="A28" s="2"/>
      <c r="B28" s="2"/>
      <c r="C28" s="2"/>
      <c r="D28" s="2"/>
      <c r="E28" s="2"/>
      <c r="F28" s="2"/>
      <c r="G28" s="2"/>
      <c r="H28" s="2"/>
    </row>
    <row r="29" ht="15.75" customHeight="1">
      <c r="A29" s="2"/>
      <c r="B29" s="2"/>
      <c r="C29" s="2"/>
      <c r="D29" s="2"/>
      <c r="E29" s="2"/>
      <c r="F29" s="2"/>
      <c r="G29" s="2"/>
      <c r="H29" s="2"/>
    </row>
    <row r="30" ht="15.75" customHeight="1">
      <c r="A30" s="2"/>
      <c r="B30" s="2"/>
      <c r="C30" s="2"/>
      <c r="D30" s="2"/>
      <c r="E30" s="2"/>
      <c r="F30" s="2"/>
      <c r="G30" s="2"/>
      <c r="H30" s="2"/>
    </row>
    <row r="31" ht="15.75" customHeight="1">
      <c r="A31" s="2"/>
      <c r="B31" s="2"/>
      <c r="C31" s="2"/>
      <c r="D31" s="2"/>
      <c r="E31" s="2"/>
      <c r="F31" s="2"/>
      <c r="G31" s="2"/>
      <c r="H31" s="2"/>
    </row>
    <row r="32" ht="15.75" customHeight="1">
      <c r="A32" s="2"/>
      <c r="B32" s="2"/>
      <c r="C32" s="2"/>
      <c r="D32" s="2"/>
      <c r="E32" s="2"/>
      <c r="F32" s="2"/>
      <c r="G32" s="2"/>
      <c r="H32" s="2"/>
    </row>
    <row r="33" ht="15.75" customHeight="1">
      <c r="A33" s="2"/>
      <c r="B33" s="2"/>
      <c r="C33" s="2"/>
      <c r="D33" s="2"/>
      <c r="E33" s="2"/>
      <c r="F33" s="2"/>
      <c r="G33" s="2"/>
      <c r="H33" s="2"/>
    </row>
    <row r="34" ht="15.75" customHeight="1">
      <c r="A34" s="2"/>
      <c r="B34" s="2"/>
      <c r="C34" s="2"/>
      <c r="D34" s="2"/>
      <c r="E34" s="2"/>
      <c r="F34" s="2"/>
      <c r="G34" s="2"/>
      <c r="H34" s="2"/>
    </row>
    <row r="35" ht="15.75" customHeight="1">
      <c r="A35" s="2"/>
      <c r="B35" s="2"/>
      <c r="C35" s="2"/>
      <c r="D35" s="2"/>
      <c r="E35" s="2"/>
      <c r="F35" s="2"/>
      <c r="G35" s="2"/>
      <c r="H35" s="2"/>
    </row>
    <row r="36" ht="15.75" customHeight="1">
      <c r="A36" s="2"/>
      <c r="B36" s="2"/>
      <c r="C36" s="2"/>
      <c r="D36" s="2"/>
      <c r="E36" s="2"/>
      <c r="F36" s="2"/>
      <c r="G36" s="2"/>
      <c r="H36" s="2"/>
    </row>
    <row r="37" ht="15.75" customHeight="1">
      <c r="A37" s="2"/>
      <c r="B37" s="2"/>
      <c r="C37" s="2"/>
      <c r="D37" s="2"/>
      <c r="E37" s="2"/>
      <c r="F37" s="2"/>
      <c r="G37" s="2"/>
      <c r="H37" s="2"/>
    </row>
    <row r="38" ht="15.75" customHeight="1">
      <c r="A38" s="2"/>
      <c r="B38" s="2"/>
      <c r="C38" s="2"/>
      <c r="D38" s="2"/>
      <c r="E38" s="2"/>
      <c r="F38" s="2"/>
      <c r="G38" s="2"/>
      <c r="H38" s="2"/>
    </row>
    <row r="39" ht="15.75" customHeight="1">
      <c r="A39" s="2"/>
      <c r="B39" s="2"/>
      <c r="C39" s="2"/>
      <c r="D39" s="2"/>
      <c r="E39" s="2"/>
      <c r="F39" s="2"/>
      <c r="G39" s="2"/>
      <c r="H39" s="2"/>
    </row>
    <row r="40" ht="15.75" customHeight="1">
      <c r="A40" s="2"/>
      <c r="B40" s="2"/>
      <c r="C40" s="2"/>
      <c r="D40" s="2"/>
      <c r="E40" s="2"/>
      <c r="F40" s="2"/>
      <c r="G40" s="2"/>
      <c r="H40" s="2"/>
    </row>
    <row r="41" ht="15.75" customHeight="1">
      <c r="A41" s="2"/>
      <c r="B41" s="2"/>
      <c r="C41" s="2"/>
      <c r="D41" s="2"/>
      <c r="E41" s="2"/>
      <c r="F41" s="2"/>
      <c r="G41" s="2"/>
      <c r="H41" s="2"/>
    </row>
    <row r="42" ht="15.75" customHeight="1">
      <c r="A42" s="2"/>
      <c r="B42" s="2"/>
      <c r="C42" s="2"/>
      <c r="D42" s="2"/>
      <c r="E42" s="2"/>
      <c r="F42" s="2"/>
      <c r="G42" s="2"/>
      <c r="H42" s="2"/>
    </row>
    <row r="43" ht="15.75" customHeight="1">
      <c r="A43" s="2"/>
      <c r="B43" s="2"/>
      <c r="C43" s="2"/>
      <c r="D43" s="2"/>
      <c r="E43" s="2"/>
      <c r="F43" s="2"/>
      <c r="G43" s="2"/>
      <c r="H43" s="2"/>
    </row>
    <row r="44" ht="15.75" customHeight="1">
      <c r="A44" s="2"/>
      <c r="B44" s="2"/>
      <c r="C44" s="2"/>
      <c r="D44" s="2"/>
      <c r="E44" s="2"/>
      <c r="F44" s="2"/>
      <c r="G44" s="2"/>
      <c r="H44" s="2"/>
    </row>
    <row r="45" ht="15.75" customHeight="1">
      <c r="A45" s="2"/>
      <c r="B45" s="2"/>
      <c r="C45" s="2"/>
      <c r="D45" s="2"/>
      <c r="E45" s="2"/>
      <c r="F45" s="2"/>
      <c r="G45" s="2"/>
      <c r="H45" s="2"/>
    </row>
    <row r="46" ht="15.75" customHeight="1">
      <c r="A46" s="2"/>
      <c r="B46" s="2"/>
      <c r="C46" s="2"/>
      <c r="D46" s="2"/>
      <c r="E46" s="2"/>
      <c r="F46" s="2"/>
      <c r="G46" s="2"/>
      <c r="H46" s="2"/>
    </row>
    <row r="47" ht="15.75" customHeight="1">
      <c r="A47" s="2"/>
      <c r="B47" s="2"/>
      <c r="C47" s="2"/>
      <c r="D47" s="2"/>
      <c r="E47" s="2"/>
      <c r="F47" s="2"/>
      <c r="G47" s="2"/>
      <c r="H47" s="2"/>
    </row>
    <row r="48" ht="15.75" customHeight="1">
      <c r="A48" s="2"/>
      <c r="B48" s="2"/>
      <c r="C48" s="2"/>
      <c r="D48" s="2"/>
      <c r="E48" s="2"/>
      <c r="F48" s="2"/>
      <c r="G48" s="2"/>
      <c r="H48" s="2"/>
    </row>
    <row r="49" ht="15.75" customHeight="1">
      <c r="A49" s="2"/>
      <c r="B49" s="2"/>
      <c r="C49" s="2"/>
      <c r="D49" s="2"/>
      <c r="E49" s="2"/>
      <c r="F49" s="2"/>
      <c r="G49" s="2"/>
      <c r="H49" s="2"/>
    </row>
    <row r="50" ht="15.75" customHeight="1">
      <c r="A50" s="2"/>
      <c r="B50" s="2"/>
      <c r="C50" s="2"/>
      <c r="D50" s="2"/>
      <c r="E50" s="2"/>
      <c r="F50" s="2"/>
      <c r="G50" s="2"/>
      <c r="H50" s="2"/>
    </row>
    <row r="51" ht="15.75" customHeight="1">
      <c r="A51" s="2"/>
      <c r="B51" s="2"/>
      <c r="C51" s="2"/>
      <c r="D51" s="2"/>
      <c r="E51" s="2"/>
      <c r="F51" s="2"/>
      <c r="G51" s="2"/>
      <c r="H51" s="2"/>
    </row>
    <row r="52" ht="15.75" customHeight="1">
      <c r="A52" s="2"/>
      <c r="B52" s="2"/>
      <c r="C52" s="2"/>
      <c r="D52" s="2"/>
      <c r="E52" s="2"/>
      <c r="F52" s="2"/>
      <c r="G52" s="2"/>
      <c r="H52" s="2"/>
    </row>
    <row r="53" ht="15.75" customHeight="1">
      <c r="A53" s="2"/>
      <c r="B53" s="2"/>
      <c r="C53" s="2"/>
      <c r="D53" s="2"/>
      <c r="E53" s="2"/>
      <c r="F53" s="2"/>
      <c r="G53" s="2"/>
      <c r="H53" s="2"/>
    </row>
    <row r="54" ht="15.75" customHeight="1">
      <c r="A54" s="2"/>
      <c r="B54" s="2"/>
      <c r="C54" s="2"/>
      <c r="D54" s="2"/>
      <c r="E54" s="2"/>
      <c r="F54" s="2"/>
      <c r="G54" s="2"/>
      <c r="H54" s="2"/>
    </row>
    <row r="55" ht="15.75" customHeight="1">
      <c r="A55" s="2"/>
      <c r="B55" s="2"/>
      <c r="C55" s="2"/>
      <c r="D55" s="2"/>
      <c r="E55" s="2"/>
      <c r="F55" s="2"/>
      <c r="G55" s="2"/>
      <c r="H55" s="2"/>
    </row>
    <row r="56" ht="15.75" customHeight="1">
      <c r="A56" s="2"/>
      <c r="B56" s="2"/>
      <c r="C56" s="2"/>
      <c r="D56" s="2"/>
      <c r="E56" s="2"/>
      <c r="F56" s="2"/>
      <c r="G56" s="2"/>
      <c r="H56" s="2"/>
    </row>
    <row r="57" ht="15.75" customHeight="1">
      <c r="A57" s="2"/>
      <c r="B57" s="2"/>
      <c r="C57" s="2"/>
      <c r="D57" s="2"/>
      <c r="E57" s="2"/>
      <c r="F57" s="2"/>
      <c r="G57" s="2"/>
      <c r="H57" s="2"/>
    </row>
    <row r="58" ht="15.75" customHeight="1">
      <c r="A58" s="2"/>
      <c r="B58" s="2"/>
      <c r="C58" s="2"/>
      <c r="D58" s="2"/>
      <c r="E58" s="2"/>
      <c r="F58" s="2"/>
      <c r="G58" s="2"/>
      <c r="H58" s="2"/>
    </row>
    <row r="59" ht="15.75" customHeight="1">
      <c r="A59" s="2"/>
      <c r="B59" s="2"/>
      <c r="C59" s="2"/>
      <c r="D59" s="2"/>
      <c r="E59" s="2"/>
      <c r="F59" s="2"/>
      <c r="G59" s="2"/>
      <c r="H59" s="2"/>
    </row>
    <row r="60" ht="15.75" customHeight="1">
      <c r="A60" s="2"/>
      <c r="B60" s="2"/>
      <c r="C60" s="2"/>
      <c r="D60" s="2"/>
      <c r="E60" s="2"/>
      <c r="F60" s="2"/>
      <c r="G60" s="2"/>
      <c r="H60" s="2"/>
    </row>
    <row r="61" ht="15.75" customHeight="1">
      <c r="A61" s="2"/>
      <c r="B61" s="2"/>
      <c r="C61" s="2"/>
      <c r="D61" s="2"/>
      <c r="E61" s="2"/>
      <c r="F61" s="2"/>
      <c r="G61" s="2"/>
      <c r="H61" s="2"/>
    </row>
    <row r="62" ht="15.75" customHeight="1">
      <c r="A62" s="2"/>
      <c r="B62" s="2"/>
      <c r="C62" s="2"/>
      <c r="D62" s="2"/>
      <c r="E62" s="2"/>
      <c r="F62" s="2"/>
      <c r="G62" s="2"/>
      <c r="H62" s="2"/>
    </row>
    <row r="63" ht="15.75" customHeight="1">
      <c r="A63" s="2"/>
      <c r="B63" s="2"/>
      <c r="C63" s="2"/>
      <c r="D63" s="2"/>
      <c r="E63" s="2"/>
      <c r="F63" s="2"/>
      <c r="G63" s="2"/>
      <c r="H63" s="2"/>
    </row>
    <row r="64" ht="15.75" customHeight="1">
      <c r="A64" s="2"/>
      <c r="B64" s="2"/>
      <c r="C64" s="2"/>
      <c r="D64" s="2"/>
      <c r="E64" s="2"/>
      <c r="F64" s="2"/>
      <c r="G64" s="2"/>
      <c r="H64" s="2"/>
    </row>
    <row r="65" ht="15.75" customHeight="1">
      <c r="A65" s="2"/>
      <c r="B65" s="2"/>
      <c r="C65" s="2"/>
      <c r="D65" s="2"/>
      <c r="E65" s="2"/>
      <c r="F65" s="2"/>
      <c r="G65" s="2"/>
      <c r="H65" s="2"/>
    </row>
    <row r="66" ht="15.75" customHeight="1">
      <c r="A66" s="2"/>
      <c r="B66" s="2"/>
      <c r="C66" s="2"/>
      <c r="D66" s="2"/>
      <c r="E66" s="2"/>
      <c r="F66" s="2"/>
      <c r="G66" s="2"/>
      <c r="H66" s="2"/>
    </row>
    <row r="67" ht="15.75" customHeight="1">
      <c r="A67" s="2"/>
      <c r="B67" s="2"/>
      <c r="C67" s="2"/>
      <c r="D67" s="2"/>
      <c r="E67" s="2"/>
      <c r="F67" s="2"/>
      <c r="G67" s="2"/>
      <c r="H67" s="2"/>
    </row>
    <row r="68" ht="15.75" customHeight="1">
      <c r="A68" s="2"/>
      <c r="B68" s="2"/>
      <c r="C68" s="2"/>
      <c r="D68" s="2"/>
      <c r="E68" s="2"/>
      <c r="F68" s="2"/>
      <c r="G68" s="2"/>
      <c r="H68" s="2"/>
    </row>
    <row r="69" ht="15.75" customHeight="1">
      <c r="A69" s="2"/>
      <c r="B69" s="2"/>
      <c r="C69" s="2"/>
      <c r="D69" s="2"/>
      <c r="E69" s="2"/>
      <c r="F69" s="2"/>
      <c r="G69" s="2"/>
      <c r="H69" s="2"/>
    </row>
    <row r="70" ht="15.75" customHeight="1">
      <c r="A70" s="2"/>
      <c r="B70" s="2"/>
      <c r="C70" s="2"/>
      <c r="D70" s="2"/>
      <c r="E70" s="2"/>
      <c r="F70" s="2"/>
      <c r="G70" s="2"/>
      <c r="H70" s="2"/>
    </row>
    <row r="71" ht="15.75" customHeight="1">
      <c r="A71" s="2"/>
      <c r="B71" s="2"/>
      <c r="C71" s="2"/>
      <c r="D71" s="2"/>
      <c r="E71" s="2"/>
      <c r="F71" s="2"/>
      <c r="G71" s="2"/>
      <c r="H71" s="2"/>
    </row>
    <row r="72" ht="15.75" customHeight="1">
      <c r="A72" s="2"/>
      <c r="B72" s="2"/>
      <c r="C72" s="2"/>
      <c r="D72" s="2"/>
      <c r="E72" s="2"/>
      <c r="F72" s="2"/>
      <c r="G72" s="2"/>
      <c r="H72" s="2"/>
    </row>
    <row r="73" ht="15.75" customHeight="1">
      <c r="A73" s="2"/>
      <c r="B73" s="2"/>
      <c r="C73" s="2"/>
      <c r="D73" s="2"/>
      <c r="E73" s="2"/>
      <c r="F73" s="2"/>
      <c r="G73" s="2"/>
      <c r="H73" s="2"/>
    </row>
    <row r="74" ht="15.75" customHeight="1">
      <c r="A74" s="2"/>
      <c r="B74" s="2"/>
      <c r="C74" s="2"/>
      <c r="D74" s="2"/>
      <c r="E74" s="2"/>
      <c r="F74" s="2"/>
      <c r="G74" s="2"/>
      <c r="H74" s="2"/>
    </row>
    <row r="75" ht="15.75" customHeight="1">
      <c r="A75" s="2"/>
      <c r="B75" s="2"/>
      <c r="C75" s="2"/>
      <c r="D75" s="2"/>
      <c r="E75" s="2"/>
      <c r="F75" s="2"/>
      <c r="G75" s="2"/>
      <c r="H75" s="2"/>
    </row>
    <row r="76" ht="15.75" customHeight="1">
      <c r="A76" s="2"/>
      <c r="B76" s="2"/>
      <c r="C76" s="2"/>
      <c r="D76" s="2"/>
      <c r="E76" s="2"/>
      <c r="F76" s="2"/>
      <c r="G76" s="2"/>
      <c r="H76" s="2"/>
    </row>
    <row r="77" ht="15.75" customHeight="1">
      <c r="A77" s="2"/>
      <c r="B77" s="2"/>
      <c r="C77" s="2"/>
      <c r="D77" s="2"/>
      <c r="E77" s="2"/>
      <c r="F77" s="2"/>
      <c r="G77" s="2"/>
      <c r="H77" s="2"/>
    </row>
    <row r="78" ht="15.75" customHeight="1">
      <c r="A78" s="2"/>
      <c r="B78" s="2"/>
      <c r="C78" s="2"/>
      <c r="D78" s="2"/>
      <c r="E78" s="2"/>
      <c r="F78" s="2"/>
      <c r="G78" s="2"/>
      <c r="H78" s="2"/>
    </row>
    <row r="79" ht="15.75" customHeight="1">
      <c r="A79" s="2"/>
      <c r="B79" s="2"/>
      <c r="C79" s="2"/>
      <c r="D79" s="2"/>
      <c r="E79" s="2"/>
      <c r="F79" s="2"/>
      <c r="G79" s="2"/>
      <c r="H79" s="2"/>
    </row>
    <row r="80" ht="15.75" customHeight="1">
      <c r="A80" s="2"/>
      <c r="B80" s="2"/>
      <c r="C80" s="2"/>
      <c r="D80" s="2"/>
      <c r="E80" s="2"/>
      <c r="F80" s="2"/>
      <c r="G80" s="2"/>
      <c r="H80" s="2"/>
    </row>
    <row r="81" ht="15.75" customHeight="1">
      <c r="A81" s="2"/>
      <c r="B81" s="2"/>
      <c r="C81" s="2"/>
      <c r="D81" s="2"/>
      <c r="E81" s="2"/>
      <c r="F81" s="2"/>
      <c r="G81" s="2"/>
      <c r="H81" s="2"/>
    </row>
    <row r="82" ht="15.75" customHeight="1">
      <c r="A82" s="2"/>
      <c r="B82" s="2"/>
      <c r="C82" s="2"/>
      <c r="D82" s="2"/>
      <c r="E82" s="2"/>
      <c r="F82" s="2"/>
      <c r="G82" s="2"/>
      <c r="H82" s="2"/>
    </row>
    <row r="83" ht="15.75" customHeight="1">
      <c r="A83" s="2"/>
      <c r="B83" s="2"/>
      <c r="C83" s="2"/>
      <c r="D83" s="2"/>
      <c r="E83" s="2"/>
      <c r="F83" s="2"/>
      <c r="G83" s="2"/>
      <c r="H83" s="2"/>
    </row>
    <row r="84" ht="15.75" customHeight="1">
      <c r="A84" s="2"/>
      <c r="B84" s="2"/>
      <c r="C84" s="2"/>
      <c r="D84" s="2"/>
      <c r="E84" s="2"/>
      <c r="F84" s="2"/>
      <c r="G84" s="2"/>
      <c r="H84" s="2"/>
    </row>
    <row r="85" ht="15.75" customHeight="1">
      <c r="A85" s="2"/>
      <c r="B85" s="2"/>
      <c r="C85" s="2"/>
      <c r="D85" s="2"/>
      <c r="E85" s="2"/>
      <c r="F85" s="2"/>
      <c r="G85" s="2"/>
      <c r="H85" s="2"/>
    </row>
    <row r="86" ht="15.75" customHeight="1">
      <c r="A86" s="2"/>
      <c r="B86" s="2"/>
      <c r="C86" s="2"/>
      <c r="D86" s="2"/>
      <c r="E86" s="2"/>
      <c r="F86" s="2"/>
      <c r="G86" s="2"/>
      <c r="H86" s="2"/>
    </row>
    <row r="87" ht="15.75" customHeight="1">
      <c r="A87" s="2"/>
      <c r="B87" s="2"/>
      <c r="C87" s="2"/>
      <c r="D87" s="2"/>
      <c r="E87" s="2"/>
      <c r="F87" s="2"/>
      <c r="G87" s="2"/>
      <c r="H87" s="2"/>
    </row>
    <row r="88" ht="15.75" customHeight="1">
      <c r="A88" s="2"/>
      <c r="B88" s="2"/>
      <c r="C88" s="2"/>
      <c r="D88" s="2"/>
      <c r="E88" s="2"/>
      <c r="F88" s="2"/>
      <c r="G88" s="2"/>
      <c r="H88" s="2"/>
    </row>
    <row r="89" ht="15.75" customHeight="1">
      <c r="A89" s="2"/>
      <c r="B89" s="2"/>
      <c r="C89" s="2"/>
      <c r="D89" s="2"/>
      <c r="E89" s="2"/>
      <c r="F89" s="2"/>
      <c r="G89" s="2"/>
      <c r="H89" s="2"/>
    </row>
    <row r="90" ht="15.75" customHeight="1">
      <c r="A90" s="2"/>
      <c r="B90" s="2"/>
      <c r="C90" s="2"/>
      <c r="D90" s="2"/>
      <c r="E90" s="2"/>
      <c r="F90" s="2"/>
      <c r="G90" s="2"/>
      <c r="H90" s="2"/>
    </row>
    <row r="91" ht="15.75" customHeight="1">
      <c r="A91" s="2"/>
      <c r="B91" s="2"/>
      <c r="C91" s="2"/>
      <c r="D91" s="2"/>
      <c r="E91" s="2"/>
      <c r="F91" s="2"/>
      <c r="G91" s="2"/>
      <c r="H91" s="2"/>
    </row>
    <row r="92" ht="15.75" customHeight="1">
      <c r="A92" s="2"/>
      <c r="B92" s="2"/>
      <c r="C92" s="2"/>
      <c r="D92" s="2"/>
      <c r="E92" s="2"/>
      <c r="F92" s="2"/>
      <c r="G92" s="2"/>
      <c r="H92" s="2"/>
    </row>
    <row r="93" ht="15.75" customHeight="1">
      <c r="A93" s="2"/>
      <c r="B93" s="2"/>
      <c r="C93" s="2"/>
      <c r="D93" s="2"/>
      <c r="E93" s="2"/>
      <c r="F93" s="2"/>
      <c r="G93" s="2"/>
      <c r="H93" s="2"/>
    </row>
    <row r="94" ht="15.75" customHeight="1">
      <c r="A94" s="2"/>
      <c r="B94" s="2"/>
      <c r="C94" s="2"/>
      <c r="D94" s="2"/>
      <c r="E94" s="2"/>
      <c r="F94" s="2"/>
      <c r="G94" s="2"/>
      <c r="H94" s="2"/>
    </row>
    <row r="95" ht="15.75" customHeight="1">
      <c r="A95" s="2"/>
      <c r="B95" s="2"/>
      <c r="C95" s="2"/>
      <c r="D95" s="2"/>
      <c r="E95" s="2"/>
      <c r="F95" s="2"/>
      <c r="G95" s="2"/>
      <c r="H95" s="2"/>
    </row>
    <row r="96" ht="15.75" customHeight="1">
      <c r="A96" s="2"/>
      <c r="B96" s="2"/>
      <c r="C96" s="2"/>
      <c r="D96" s="2"/>
      <c r="E96" s="2"/>
      <c r="F96" s="2"/>
      <c r="G96" s="2"/>
      <c r="H96" s="2"/>
    </row>
    <row r="97" ht="15.75" customHeight="1">
      <c r="A97" s="2"/>
      <c r="B97" s="2"/>
      <c r="C97" s="2"/>
      <c r="D97" s="2"/>
      <c r="E97" s="2"/>
      <c r="F97" s="2"/>
      <c r="G97" s="2"/>
      <c r="H97" s="2"/>
    </row>
    <row r="98" ht="15.75" customHeight="1">
      <c r="A98" s="2"/>
      <c r="B98" s="2"/>
      <c r="C98" s="2"/>
      <c r="D98" s="2"/>
      <c r="E98" s="2"/>
      <c r="F98" s="2"/>
      <c r="G98" s="2"/>
      <c r="H98" s="2"/>
    </row>
    <row r="99" ht="15.75" customHeight="1">
      <c r="A99" s="2"/>
      <c r="B99" s="2"/>
      <c r="C99" s="2"/>
      <c r="D99" s="2"/>
      <c r="E99" s="2"/>
      <c r="F99" s="2"/>
      <c r="G99" s="2"/>
      <c r="H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</row>
  </sheetData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4.0"/>
    <col customWidth="1" min="3" max="3" width="22.0"/>
    <col customWidth="1" min="4" max="4" width="30.0"/>
    <col customWidth="1" min="5" max="6" width="18.0"/>
    <col customWidth="1" min="7" max="7" width="20.0"/>
    <col customWidth="1" min="8" max="8" width="24.0"/>
  </cols>
  <sheetData>
    <row r="1">
      <c r="A1" s="18" t="s">
        <v>361</v>
      </c>
      <c r="B1" s="2"/>
      <c r="C1" s="2"/>
      <c r="D1" s="2"/>
      <c r="E1" s="2"/>
      <c r="F1" s="2"/>
      <c r="G1" s="2"/>
      <c r="H1" s="2"/>
    </row>
    <row r="2">
      <c r="A2" s="19" t="s">
        <v>362</v>
      </c>
      <c r="B2" s="2"/>
      <c r="C2" s="2"/>
      <c r="D2" s="2"/>
      <c r="E2" s="2"/>
      <c r="F2" s="2"/>
      <c r="G2" s="2"/>
      <c r="H2" s="2"/>
    </row>
    <row r="3">
      <c r="A3" s="2"/>
      <c r="B3" s="2"/>
      <c r="C3" s="2"/>
      <c r="D3" s="2"/>
      <c r="E3" s="2"/>
      <c r="F3" s="2"/>
      <c r="G3" s="2"/>
      <c r="H3" s="2"/>
    </row>
    <row r="4">
      <c r="A4" s="20" t="s">
        <v>81</v>
      </c>
      <c r="B4" s="20" t="s">
        <v>82</v>
      </c>
      <c r="C4" s="20" t="s">
        <v>83</v>
      </c>
      <c r="D4" s="20" t="s">
        <v>84</v>
      </c>
      <c r="E4" s="20" t="s">
        <v>85</v>
      </c>
      <c r="F4" s="20" t="s">
        <v>86</v>
      </c>
      <c r="G4" s="20" t="s">
        <v>87</v>
      </c>
      <c r="H4" s="20" t="s">
        <v>9</v>
      </c>
    </row>
    <row r="5">
      <c r="A5" s="5">
        <v>1.0</v>
      </c>
      <c r="B5" s="5" t="s">
        <v>43</v>
      </c>
      <c r="C5" s="5">
        <v>60.0</v>
      </c>
      <c r="D5" s="6" t="s">
        <v>198</v>
      </c>
      <c r="E5" s="5" t="str">
        <f>C5</f>
        <v>60</v>
      </c>
      <c r="F5" s="5" t="str">
        <f t="shared" ref="F5:F19" si="1">900-E5</f>
        <v>840</v>
      </c>
      <c r="G5" s="8" t="str">
        <f t="shared" ref="G5:G19" si="2">E5/900</f>
        <v>6.7%</v>
      </c>
      <c r="H5" s="5" t="str">
        <f t="shared" ref="H5:H19" si="3">IF(G5&gt;=1, "100.0% (Package Over)", TEXT(MIN(G5*100, 99.9), "0.0") &amp; "%")</f>
        <v>6.7%</v>
      </c>
    </row>
    <row r="6">
      <c r="A6" s="5">
        <v>2.0</v>
      </c>
      <c r="B6" s="5" t="s">
        <v>43</v>
      </c>
      <c r="C6" s="5">
        <v>60.0</v>
      </c>
      <c r="D6" s="6" t="s">
        <v>91</v>
      </c>
      <c r="E6" s="5" t="str">
        <f t="shared" ref="E6:E19" si="4">E5+C6</f>
        <v>120</v>
      </c>
      <c r="F6" s="5" t="str">
        <f t="shared" si="1"/>
        <v>780</v>
      </c>
      <c r="G6" s="8" t="str">
        <f t="shared" si="2"/>
        <v>13.3%</v>
      </c>
      <c r="H6" s="5" t="str">
        <f t="shared" si="3"/>
        <v>13.3%</v>
      </c>
    </row>
    <row r="7">
      <c r="A7" s="5">
        <v>3.0</v>
      </c>
      <c r="B7" s="5" t="s">
        <v>363</v>
      </c>
      <c r="C7" s="5">
        <v>60.0</v>
      </c>
      <c r="D7" s="6" t="s">
        <v>91</v>
      </c>
      <c r="E7" s="5" t="str">
        <f t="shared" si="4"/>
        <v>180</v>
      </c>
      <c r="F7" s="5" t="str">
        <f t="shared" si="1"/>
        <v>720</v>
      </c>
      <c r="G7" s="8" t="str">
        <f t="shared" si="2"/>
        <v>20.0%</v>
      </c>
      <c r="H7" s="5" t="str">
        <f t="shared" si="3"/>
        <v>20.0%</v>
      </c>
    </row>
    <row r="8">
      <c r="A8" s="5">
        <v>4.0</v>
      </c>
      <c r="B8" s="5" t="s">
        <v>364</v>
      </c>
      <c r="C8" s="5">
        <v>60.0</v>
      </c>
      <c r="D8" s="6" t="s">
        <v>91</v>
      </c>
      <c r="E8" s="5" t="str">
        <f t="shared" si="4"/>
        <v>240</v>
      </c>
      <c r="F8" s="5" t="str">
        <f t="shared" si="1"/>
        <v>660</v>
      </c>
      <c r="G8" s="8" t="str">
        <f t="shared" si="2"/>
        <v>26.7%</v>
      </c>
      <c r="H8" s="5" t="str">
        <f t="shared" si="3"/>
        <v>26.7%</v>
      </c>
    </row>
    <row r="9">
      <c r="A9" s="5">
        <v>5.0</v>
      </c>
      <c r="B9" s="5" t="s">
        <v>364</v>
      </c>
      <c r="C9" s="5">
        <v>60.0</v>
      </c>
      <c r="D9" s="6" t="s">
        <v>119</v>
      </c>
      <c r="E9" s="5" t="str">
        <f t="shared" si="4"/>
        <v>300</v>
      </c>
      <c r="F9" s="5" t="str">
        <f t="shared" si="1"/>
        <v>600</v>
      </c>
      <c r="G9" s="8" t="str">
        <f t="shared" si="2"/>
        <v>33.3%</v>
      </c>
      <c r="H9" s="5" t="str">
        <f t="shared" si="3"/>
        <v>33.3%</v>
      </c>
    </row>
    <row r="10">
      <c r="A10" s="5">
        <v>6.0</v>
      </c>
      <c r="B10" s="5" t="s">
        <v>365</v>
      </c>
      <c r="C10" s="5">
        <v>60.0</v>
      </c>
      <c r="D10" s="6" t="s">
        <v>93</v>
      </c>
      <c r="E10" s="5" t="str">
        <f t="shared" si="4"/>
        <v>360</v>
      </c>
      <c r="F10" s="5" t="str">
        <f t="shared" si="1"/>
        <v>540</v>
      </c>
      <c r="G10" s="8" t="str">
        <f t="shared" si="2"/>
        <v>40.0%</v>
      </c>
      <c r="H10" s="5" t="str">
        <f t="shared" si="3"/>
        <v>40.0%</v>
      </c>
    </row>
    <row r="11">
      <c r="A11" s="5">
        <v>7.0</v>
      </c>
      <c r="B11" s="5" t="s">
        <v>365</v>
      </c>
      <c r="C11" s="5">
        <v>60.0</v>
      </c>
      <c r="D11" s="6" t="s">
        <v>366</v>
      </c>
      <c r="E11" s="5" t="str">
        <f t="shared" si="4"/>
        <v>420</v>
      </c>
      <c r="F11" s="5" t="str">
        <f t="shared" si="1"/>
        <v>480</v>
      </c>
      <c r="G11" s="8" t="str">
        <f t="shared" si="2"/>
        <v>46.7%</v>
      </c>
      <c r="H11" s="5" t="str">
        <f t="shared" si="3"/>
        <v>46.7%</v>
      </c>
    </row>
    <row r="12">
      <c r="A12" s="5">
        <v>8.0</v>
      </c>
      <c r="B12" s="5" t="s">
        <v>226</v>
      </c>
      <c r="C12" s="5">
        <v>60.0</v>
      </c>
      <c r="D12" s="6" t="s">
        <v>367</v>
      </c>
      <c r="E12" s="5" t="str">
        <f t="shared" si="4"/>
        <v>480</v>
      </c>
      <c r="F12" s="5" t="str">
        <f t="shared" si="1"/>
        <v>420</v>
      </c>
      <c r="G12" s="8" t="str">
        <f t="shared" si="2"/>
        <v>53.3%</v>
      </c>
      <c r="H12" s="5" t="str">
        <f t="shared" si="3"/>
        <v>53.3%</v>
      </c>
    </row>
    <row r="13">
      <c r="A13" s="5">
        <v>9.0</v>
      </c>
      <c r="B13" s="5" t="s">
        <v>226</v>
      </c>
      <c r="C13" s="5">
        <v>60.0</v>
      </c>
      <c r="D13" s="6" t="s">
        <v>368</v>
      </c>
      <c r="E13" s="5" t="str">
        <f t="shared" si="4"/>
        <v>540</v>
      </c>
      <c r="F13" s="5" t="str">
        <f t="shared" si="1"/>
        <v>360</v>
      </c>
      <c r="G13" s="8" t="str">
        <f t="shared" si="2"/>
        <v>60.0%</v>
      </c>
      <c r="H13" s="5" t="str">
        <f t="shared" si="3"/>
        <v>60.0%</v>
      </c>
    </row>
    <row r="14">
      <c r="A14" s="5">
        <v>10.0</v>
      </c>
      <c r="B14" s="5" t="s">
        <v>165</v>
      </c>
      <c r="C14" s="5">
        <v>60.0</v>
      </c>
      <c r="D14" s="6" t="s">
        <v>367</v>
      </c>
      <c r="E14" s="5" t="str">
        <f t="shared" si="4"/>
        <v>600</v>
      </c>
      <c r="F14" s="5" t="str">
        <f t="shared" si="1"/>
        <v>300</v>
      </c>
      <c r="G14" s="8" t="str">
        <f t="shared" si="2"/>
        <v>66.7%</v>
      </c>
      <c r="H14" s="5" t="str">
        <f t="shared" si="3"/>
        <v>66.7%</v>
      </c>
    </row>
    <row r="15">
      <c r="A15" s="5">
        <v>11.0</v>
      </c>
      <c r="B15" s="5" t="s">
        <v>165</v>
      </c>
      <c r="C15" s="5">
        <v>60.0</v>
      </c>
      <c r="D15" s="6" t="s">
        <v>369</v>
      </c>
      <c r="E15" s="5" t="str">
        <f t="shared" si="4"/>
        <v>660</v>
      </c>
      <c r="F15" s="5" t="str">
        <f t="shared" si="1"/>
        <v>240</v>
      </c>
      <c r="G15" s="8" t="str">
        <f t="shared" si="2"/>
        <v>73.3%</v>
      </c>
      <c r="H15" s="5" t="str">
        <f t="shared" si="3"/>
        <v>73.3%</v>
      </c>
    </row>
    <row r="16">
      <c r="A16" s="5">
        <v>12.0</v>
      </c>
      <c r="B16" s="5" t="s">
        <v>370</v>
      </c>
      <c r="C16" s="5">
        <v>60.0</v>
      </c>
      <c r="D16" s="6" t="s">
        <v>368</v>
      </c>
      <c r="E16" s="5" t="str">
        <f t="shared" si="4"/>
        <v>720</v>
      </c>
      <c r="F16" s="5" t="str">
        <f t="shared" si="1"/>
        <v>180</v>
      </c>
      <c r="G16" s="8" t="str">
        <f t="shared" si="2"/>
        <v>80.0%</v>
      </c>
      <c r="H16" s="5" t="str">
        <f t="shared" si="3"/>
        <v>80.0%</v>
      </c>
    </row>
    <row r="17">
      <c r="A17" s="5">
        <v>13.0</v>
      </c>
      <c r="B17" s="5" t="s">
        <v>371</v>
      </c>
      <c r="C17" s="5">
        <v>60.0</v>
      </c>
      <c r="D17" s="6" t="s">
        <v>368</v>
      </c>
      <c r="E17" s="5" t="str">
        <f t="shared" si="4"/>
        <v>780</v>
      </c>
      <c r="F17" s="5" t="str">
        <f t="shared" si="1"/>
        <v>120</v>
      </c>
      <c r="G17" s="8" t="str">
        <f t="shared" si="2"/>
        <v>86.7%</v>
      </c>
      <c r="H17" s="5" t="str">
        <f t="shared" si="3"/>
        <v>86.7%</v>
      </c>
    </row>
    <row r="18">
      <c r="A18" s="5">
        <v>14.0</v>
      </c>
      <c r="B18" s="5" t="s">
        <v>372</v>
      </c>
      <c r="C18" s="5">
        <v>60.0</v>
      </c>
      <c r="D18" s="6" t="s">
        <v>368</v>
      </c>
      <c r="E18" s="5" t="str">
        <f t="shared" si="4"/>
        <v>840</v>
      </c>
      <c r="F18" s="5" t="str">
        <f t="shared" si="1"/>
        <v>60</v>
      </c>
      <c r="G18" s="8" t="str">
        <f t="shared" si="2"/>
        <v>93.3%</v>
      </c>
      <c r="H18" s="5" t="str">
        <f t="shared" si="3"/>
        <v>93.3%</v>
      </c>
    </row>
    <row r="19">
      <c r="A19" s="5">
        <v>15.0</v>
      </c>
      <c r="B19" s="5" t="s">
        <v>373</v>
      </c>
      <c r="C19" s="5">
        <v>60.0</v>
      </c>
      <c r="D19" s="6" t="s">
        <v>369</v>
      </c>
      <c r="E19" s="5" t="str">
        <f t="shared" si="4"/>
        <v>900</v>
      </c>
      <c r="F19" s="5" t="str">
        <f t="shared" si="1"/>
        <v>0</v>
      </c>
      <c r="G19" s="8" t="str">
        <f t="shared" si="2"/>
        <v>100.0%</v>
      </c>
      <c r="H19" s="5" t="str">
        <f t="shared" si="3"/>
        <v>100.0% (Package Over)</v>
      </c>
    </row>
    <row r="20">
      <c r="A20" s="2"/>
      <c r="B20" s="2"/>
      <c r="C20" s="2"/>
      <c r="D20" s="2"/>
      <c r="E20" s="2"/>
      <c r="F20" s="2"/>
      <c r="G20" s="2"/>
      <c r="H20" s="2"/>
    </row>
    <row r="21" ht="15.75" customHeight="1">
      <c r="A21" s="2"/>
      <c r="B21" s="2"/>
      <c r="C21" s="2"/>
      <c r="D21" s="2"/>
      <c r="E21" s="2"/>
      <c r="F21" s="2"/>
      <c r="G21" s="2"/>
      <c r="H21" s="2"/>
    </row>
    <row r="22" ht="15.75" customHeight="1">
      <c r="A22" s="2"/>
      <c r="B22" s="2"/>
      <c r="C22" s="2"/>
      <c r="D22" s="2"/>
      <c r="E22" s="2"/>
      <c r="F22" s="2"/>
      <c r="G22" s="2"/>
      <c r="H22" s="2"/>
    </row>
    <row r="23" ht="15.75" customHeight="1">
      <c r="A23" s="2"/>
      <c r="B23" s="2"/>
      <c r="C23" s="2"/>
      <c r="D23" s="2"/>
      <c r="E23" s="2"/>
      <c r="F23" s="2"/>
      <c r="G23" s="2"/>
      <c r="H23" s="2"/>
    </row>
    <row r="24" ht="15.75" customHeight="1">
      <c r="A24" s="2"/>
      <c r="B24" s="2"/>
      <c r="C24" s="2"/>
      <c r="D24" s="2"/>
      <c r="E24" s="2"/>
      <c r="F24" s="2"/>
      <c r="G24" s="2"/>
      <c r="H24" s="2"/>
    </row>
    <row r="25" ht="15.75" customHeight="1">
      <c r="A25" s="2"/>
      <c r="B25" s="2"/>
      <c r="C25" s="2"/>
      <c r="D25" s="2"/>
      <c r="E25" s="2"/>
      <c r="F25" s="2"/>
      <c r="G25" s="2"/>
      <c r="H25" s="2"/>
    </row>
    <row r="26" ht="15.75" customHeight="1">
      <c r="A26" s="2"/>
      <c r="B26" s="2"/>
      <c r="C26" s="2"/>
      <c r="D26" s="2"/>
      <c r="E26" s="2"/>
      <c r="F26" s="2"/>
      <c r="G26" s="2"/>
      <c r="H26" s="2"/>
    </row>
    <row r="27" ht="15.75" customHeight="1">
      <c r="A27" s="2"/>
      <c r="B27" s="2"/>
      <c r="C27" s="2"/>
      <c r="D27" s="2"/>
      <c r="E27" s="2"/>
      <c r="F27" s="2"/>
      <c r="G27" s="2"/>
      <c r="H27" s="2"/>
    </row>
    <row r="28" ht="15.75" customHeight="1">
      <c r="A28" s="2"/>
      <c r="B28" s="2"/>
      <c r="C28" s="2"/>
      <c r="D28" s="2"/>
      <c r="E28" s="2"/>
      <c r="F28" s="2"/>
      <c r="G28" s="2"/>
      <c r="H28" s="2"/>
    </row>
    <row r="29" ht="15.75" customHeight="1">
      <c r="A29" s="2"/>
      <c r="B29" s="2"/>
      <c r="C29" s="2"/>
      <c r="D29" s="2"/>
      <c r="E29" s="2"/>
      <c r="F29" s="2"/>
      <c r="G29" s="2"/>
      <c r="H29" s="2"/>
    </row>
    <row r="30" ht="15.75" customHeight="1">
      <c r="A30" s="2"/>
      <c r="B30" s="2"/>
      <c r="C30" s="2"/>
      <c r="D30" s="2"/>
      <c r="E30" s="2"/>
      <c r="F30" s="2"/>
      <c r="G30" s="2"/>
      <c r="H30" s="2"/>
    </row>
    <row r="31" ht="15.75" customHeight="1">
      <c r="A31" s="2"/>
      <c r="B31" s="2"/>
      <c r="C31" s="2"/>
      <c r="D31" s="2"/>
      <c r="E31" s="2"/>
      <c r="F31" s="2"/>
      <c r="G31" s="2"/>
      <c r="H31" s="2"/>
    </row>
    <row r="32" ht="15.75" customHeight="1">
      <c r="A32" s="2"/>
      <c r="B32" s="2"/>
      <c r="C32" s="2"/>
      <c r="D32" s="2"/>
      <c r="E32" s="2"/>
      <c r="F32" s="2"/>
      <c r="G32" s="2"/>
      <c r="H32" s="2"/>
    </row>
    <row r="33" ht="15.75" customHeight="1">
      <c r="A33" s="2"/>
      <c r="B33" s="2"/>
      <c r="C33" s="2"/>
      <c r="D33" s="2"/>
      <c r="E33" s="2"/>
      <c r="F33" s="2"/>
      <c r="G33" s="2"/>
      <c r="H33" s="2"/>
    </row>
    <row r="34" ht="15.75" customHeight="1">
      <c r="A34" s="2"/>
      <c r="B34" s="2"/>
      <c r="C34" s="2"/>
      <c r="D34" s="2"/>
      <c r="E34" s="2"/>
      <c r="F34" s="2"/>
      <c r="G34" s="2"/>
      <c r="H34" s="2"/>
    </row>
    <row r="35" ht="15.75" customHeight="1">
      <c r="A35" s="2"/>
      <c r="B35" s="2"/>
      <c r="C35" s="2"/>
      <c r="D35" s="2"/>
      <c r="E35" s="2"/>
      <c r="F35" s="2"/>
      <c r="G35" s="2"/>
      <c r="H35" s="2"/>
    </row>
    <row r="36" ht="15.75" customHeight="1">
      <c r="A36" s="2"/>
      <c r="B36" s="2"/>
      <c r="C36" s="2"/>
      <c r="D36" s="2"/>
      <c r="E36" s="2"/>
      <c r="F36" s="2"/>
      <c r="G36" s="2"/>
      <c r="H36" s="2"/>
    </row>
    <row r="37" ht="15.75" customHeight="1">
      <c r="A37" s="2"/>
      <c r="B37" s="2"/>
      <c r="C37" s="2"/>
      <c r="D37" s="2"/>
      <c r="E37" s="2"/>
      <c r="F37" s="2"/>
      <c r="G37" s="2"/>
      <c r="H37" s="2"/>
    </row>
    <row r="38" ht="15.75" customHeight="1">
      <c r="A38" s="2"/>
      <c r="B38" s="2"/>
      <c r="C38" s="2"/>
      <c r="D38" s="2"/>
      <c r="E38" s="2"/>
      <c r="F38" s="2"/>
      <c r="G38" s="2"/>
      <c r="H38" s="2"/>
    </row>
    <row r="39" ht="15.75" customHeight="1">
      <c r="A39" s="2"/>
      <c r="B39" s="2"/>
      <c r="C39" s="2"/>
      <c r="D39" s="2"/>
      <c r="E39" s="2"/>
      <c r="F39" s="2"/>
      <c r="G39" s="2"/>
      <c r="H39" s="2"/>
    </row>
    <row r="40" ht="15.75" customHeight="1">
      <c r="A40" s="2"/>
      <c r="B40" s="2"/>
      <c r="C40" s="2"/>
      <c r="D40" s="2"/>
      <c r="E40" s="2"/>
      <c r="F40" s="2"/>
      <c r="G40" s="2"/>
      <c r="H40" s="2"/>
    </row>
    <row r="41" ht="15.75" customHeight="1">
      <c r="A41" s="2"/>
      <c r="B41" s="2"/>
      <c r="C41" s="2"/>
      <c r="D41" s="2"/>
      <c r="E41" s="2"/>
      <c r="F41" s="2"/>
      <c r="G41" s="2"/>
      <c r="H41" s="2"/>
    </row>
    <row r="42" ht="15.75" customHeight="1">
      <c r="A42" s="2"/>
      <c r="B42" s="2"/>
      <c r="C42" s="2"/>
      <c r="D42" s="2"/>
      <c r="E42" s="2"/>
      <c r="F42" s="2"/>
      <c r="G42" s="2"/>
      <c r="H42" s="2"/>
    </row>
    <row r="43" ht="15.75" customHeight="1">
      <c r="A43" s="2"/>
      <c r="B43" s="2"/>
      <c r="C43" s="2"/>
      <c r="D43" s="2"/>
      <c r="E43" s="2"/>
      <c r="F43" s="2"/>
      <c r="G43" s="2"/>
      <c r="H43" s="2"/>
    </row>
    <row r="44" ht="15.75" customHeight="1">
      <c r="A44" s="2"/>
      <c r="B44" s="2"/>
      <c r="C44" s="2"/>
      <c r="D44" s="2"/>
      <c r="E44" s="2"/>
      <c r="F44" s="2"/>
      <c r="G44" s="2"/>
      <c r="H44" s="2"/>
    </row>
    <row r="45" ht="15.75" customHeight="1">
      <c r="A45" s="2"/>
      <c r="B45" s="2"/>
      <c r="C45" s="2"/>
      <c r="D45" s="2"/>
      <c r="E45" s="2"/>
      <c r="F45" s="2"/>
      <c r="G45" s="2"/>
      <c r="H45" s="2"/>
    </row>
    <row r="46" ht="15.75" customHeight="1">
      <c r="A46" s="2"/>
      <c r="B46" s="2"/>
      <c r="C46" s="2"/>
      <c r="D46" s="2"/>
      <c r="E46" s="2"/>
      <c r="F46" s="2"/>
      <c r="G46" s="2"/>
      <c r="H46" s="2"/>
    </row>
    <row r="47" ht="15.75" customHeight="1">
      <c r="A47" s="2"/>
      <c r="B47" s="2"/>
      <c r="C47" s="2"/>
      <c r="D47" s="2"/>
      <c r="E47" s="2"/>
      <c r="F47" s="2"/>
      <c r="G47" s="2"/>
      <c r="H47" s="2"/>
    </row>
    <row r="48" ht="15.75" customHeight="1">
      <c r="A48" s="2"/>
      <c r="B48" s="2"/>
      <c r="C48" s="2"/>
      <c r="D48" s="2"/>
      <c r="E48" s="2"/>
      <c r="F48" s="2"/>
      <c r="G48" s="2"/>
      <c r="H48" s="2"/>
    </row>
    <row r="49" ht="15.75" customHeight="1">
      <c r="A49" s="2"/>
      <c r="B49" s="2"/>
      <c r="C49" s="2"/>
      <c r="D49" s="2"/>
      <c r="E49" s="2"/>
      <c r="F49" s="2"/>
      <c r="G49" s="2"/>
      <c r="H49" s="2"/>
    </row>
    <row r="50" ht="15.75" customHeight="1">
      <c r="A50" s="2"/>
      <c r="B50" s="2"/>
      <c r="C50" s="2"/>
      <c r="D50" s="2"/>
      <c r="E50" s="2"/>
      <c r="F50" s="2"/>
      <c r="G50" s="2"/>
      <c r="H50" s="2"/>
    </row>
    <row r="51" ht="15.75" customHeight="1">
      <c r="A51" s="2"/>
      <c r="B51" s="2"/>
      <c r="C51" s="2"/>
      <c r="D51" s="2"/>
      <c r="E51" s="2"/>
      <c r="F51" s="2"/>
      <c r="G51" s="2"/>
      <c r="H51" s="2"/>
    </row>
    <row r="52" ht="15.75" customHeight="1">
      <c r="A52" s="2"/>
      <c r="B52" s="2"/>
      <c r="C52" s="2"/>
      <c r="D52" s="2"/>
      <c r="E52" s="2"/>
      <c r="F52" s="2"/>
      <c r="G52" s="2"/>
      <c r="H52" s="2"/>
    </row>
    <row r="53" ht="15.75" customHeight="1">
      <c r="A53" s="2"/>
      <c r="B53" s="2"/>
      <c r="C53" s="2"/>
      <c r="D53" s="2"/>
      <c r="E53" s="2"/>
      <c r="F53" s="2"/>
      <c r="G53" s="2"/>
      <c r="H53" s="2"/>
    </row>
    <row r="54" ht="15.75" customHeight="1">
      <c r="A54" s="2"/>
      <c r="B54" s="2"/>
      <c r="C54" s="2"/>
      <c r="D54" s="2"/>
      <c r="E54" s="2"/>
      <c r="F54" s="2"/>
      <c r="G54" s="2"/>
      <c r="H54" s="2"/>
    </row>
    <row r="55" ht="15.75" customHeight="1">
      <c r="A55" s="2"/>
      <c r="B55" s="2"/>
      <c r="C55" s="2"/>
      <c r="D55" s="2"/>
      <c r="E55" s="2"/>
      <c r="F55" s="2"/>
      <c r="G55" s="2"/>
      <c r="H55" s="2"/>
    </row>
    <row r="56" ht="15.75" customHeight="1">
      <c r="A56" s="2"/>
      <c r="B56" s="2"/>
      <c r="C56" s="2"/>
      <c r="D56" s="2"/>
      <c r="E56" s="2"/>
      <c r="F56" s="2"/>
      <c r="G56" s="2"/>
      <c r="H56" s="2"/>
    </row>
    <row r="57" ht="15.75" customHeight="1">
      <c r="A57" s="2"/>
      <c r="B57" s="2"/>
      <c r="C57" s="2"/>
      <c r="D57" s="2"/>
      <c r="E57" s="2"/>
      <c r="F57" s="2"/>
      <c r="G57" s="2"/>
      <c r="H57" s="2"/>
    </row>
    <row r="58" ht="15.75" customHeight="1">
      <c r="A58" s="2"/>
      <c r="B58" s="2"/>
      <c r="C58" s="2"/>
      <c r="D58" s="2"/>
      <c r="E58" s="2"/>
      <c r="F58" s="2"/>
      <c r="G58" s="2"/>
      <c r="H58" s="2"/>
    </row>
    <row r="59" ht="15.75" customHeight="1">
      <c r="A59" s="2"/>
      <c r="B59" s="2"/>
      <c r="C59" s="2"/>
      <c r="D59" s="2"/>
      <c r="E59" s="2"/>
      <c r="F59" s="2"/>
      <c r="G59" s="2"/>
      <c r="H59" s="2"/>
    </row>
    <row r="60" ht="15.75" customHeight="1">
      <c r="A60" s="2"/>
      <c r="B60" s="2"/>
      <c r="C60" s="2"/>
      <c r="D60" s="2"/>
      <c r="E60" s="2"/>
      <c r="F60" s="2"/>
      <c r="G60" s="2"/>
      <c r="H60" s="2"/>
    </row>
    <row r="61" ht="15.75" customHeight="1">
      <c r="A61" s="2"/>
      <c r="B61" s="2"/>
      <c r="C61" s="2"/>
      <c r="D61" s="2"/>
      <c r="E61" s="2"/>
      <c r="F61" s="2"/>
      <c r="G61" s="2"/>
      <c r="H61" s="2"/>
    </row>
    <row r="62" ht="15.75" customHeight="1">
      <c r="A62" s="2"/>
      <c r="B62" s="2"/>
      <c r="C62" s="2"/>
      <c r="D62" s="2"/>
      <c r="E62" s="2"/>
      <c r="F62" s="2"/>
      <c r="G62" s="2"/>
      <c r="H62" s="2"/>
    </row>
    <row r="63" ht="15.75" customHeight="1">
      <c r="A63" s="2"/>
      <c r="B63" s="2"/>
      <c r="C63" s="2"/>
      <c r="D63" s="2"/>
      <c r="E63" s="2"/>
      <c r="F63" s="2"/>
      <c r="G63" s="2"/>
      <c r="H63" s="2"/>
    </row>
    <row r="64" ht="15.75" customHeight="1">
      <c r="A64" s="2"/>
      <c r="B64" s="2"/>
      <c r="C64" s="2"/>
      <c r="D64" s="2"/>
      <c r="E64" s="2"/>
      <c r="F64" s="2"/>
      <c r="G64" s="2"/>
      <c r="H64" s="2"/>
    </row>
    <row r="65" ht="15.75" customHeight="1">
      <c r="A65" s="2"/>
      <c r="B65" s="2"/>
      <c r="C65" s="2"/>
      <c r="D65" s="2"/>
      <c r="E65" s="2"/>
      <c r="F65" s="2"/>
      <c r="G65" s="2"/>
      <c r="H65" s="2"/>
    </row>
    <row r="66" ht="15.75" customHeight="1">
      <c r="A66" s="2"/>
      <c r="B66" s="2"/>
      <c r="C66" s="2"/>
      <c r="D66" s="2"/>
      <c r="E66" s="2"/>
      <c r="F66" s="2"/>
      <c r="G66" s="2"/>
      <c r="H66" s="2"/>
    </row>
    <row r="67" ht="15.75" customHeight="1">
      <c r="A67" s="2"/>
      <c r="B67" s="2"/>
      <c r="C67" s="2"/>
      <c r="D67" s="2"/>
      <c r="E67" s="2"/>
      <c r="F67" s="2"/>
      <c r="G67" s="2"/>
      <c r="H67" s="2"/>
    </row>
    <row r="68" ht="15.75" customHeight="1">
      <c r="A68" s="2"/>
      <c r="B68" s="2"/>
      <c r="C68" s="2"/>
      <c r="D68" s="2"/>
      <c r="E68" s="2"/>
      <c r="F68" s="2"/>
      <c r="G68" s="2"/>
      <c r="H68" s="2"/>
    </row>
    <row r="69" ht="15.75" customHeight="1">
      <c r="A69" s="2"/>
      <c r="B69" s="2"/>
      <c r="C69" s="2"/>
      <c r="D69" s="2"/>
      <c r="E69" s="2"/>
      <c r="F69" s="2"/>
      <c r="G69" s="2"/>
      <c r="H69" s="2"/>
    </row>
    <row r="70" ht="15.75" customHeight="1">
      <c r="A70" s="2"/>
      <c r="B70" s="2"/>
      <c r="C70" s="2"/>
      <c r="D70" s="2"/>
      <c r="E70" s="2"/>
      <c r="F70" s="2"/>
      <c r="G70" s="2"/>
      <c r="H70" s="2"/>
    </row>
    <row r="71" ht="15.75" customHeight="1">
      <c r="A71" s="2"/>
      <c r="B71" s="2"/>
      <c r="C71" s="2"/>
      <c r="D71" s="2"/>
      <c r="E71" s="2"/>
      <c r="F71" s="2"/>
      <c r="G71" s="2"/>
      <c r="H71" s="2"/>
    </row>
    <row r="72" ht="15.75" customHeight="1">
      <c r="A72" s="2"/>
      <c r="B72" s="2"/>
      <c r="C72" s="2"/>
      <c r="D72" s="2"/>
      <c r="E72" s="2"/>
      <c r="F72" s="2"/>
      <c r="G72" s="2"/>
      <c r="H72" s="2"/>
    </row>
    <row r="73" ht="15.75" customHeight="1">
      <c r="A73" s="2"/>
      <c r="B73" s="2"/>
      <c r="C73" s="2"/>
      <c r="D73" s="2"/>
      <c r="E73" s="2"/>
      <c r="F73" s="2"/>
      <c r="G73" s="2"/>
      <c r="H73" s="2"/>
    </row>
    <row r="74" ht="15.75" customHeight="1">
      <c r="A74" s="2"/>
      <c r="B74" s="2"/>
      <c r="C74" s="2"/>
      <c r="D74" s="2"/>
      <c r="E74" s="2"/>
      <c r="F74" s="2"/>
      <c r="G74" s="2"/>
      <c r="H74" s="2"/>
    </row>
    <row r="75" ht="15.75" customHeight="1">
      <c r="A75" s="2"/>
      <c r="B75" s="2"/>
      <c r="C75" s="2"/>
      <c r="D75" s="2"/>
      <c r="E75" s="2"/>
      <c r="F75" s="2"/>
      <c r="G75" s="2"/>
      <c r="H75" s="2"/>
    </row>
    <row r="76" ht="15.75" customHeight="1">
      <c r="A76" s="2"/>
      <c r="B76" s="2"/>
      <c r="C76" s="2"/>
      <c r="D76" s="2"/>
      <c r="E76" s="2"/>
      <c r="F76" s="2"/>
      <c r="G76" s="2"/>
      <c r="H76" s="2"/>
    </row>
    <row r="77" ht="15.75" customHeight="1">
      <c r="A77" s="2"/>
      <c r="B77" s="2"/>
      <c r="C77" s="2"/>
      <c r="D77" s="2"/>
      <c r="E77" s="2"/>
      <c r="F77" s="2"/>
      <c r="G77" s="2"/>
      <c r="H77" s="2"/>
    </row>
    <row r="78" ht="15.75" customHeight="1">
      <c r="A78" s="2"/>
      <c r="B78" s="2"/>
      <c r="C78" s="2"/>
      <c r="D78" s="2"/>
      <c r="E78" s="2"/>
      <c r="F78" s="2"/>
      <c r="G78" s="2"/>
      <c r="H78" s="2"/>
    </row>
    <row r="79" ht="15.75" customHeight="1">
      <c r="A79" s="2"/>
      <c r="B79" s="2"/>
      <c r="C79" s="2"/>
      <c r="D79" s="2"/>
      <c r="E79" s="2"/>
      <c r="F79" s="2"/>
      <c r="G79" s="2"/>
      <c r="H79" s="2"/>
    </row>
    <row r="80" ht="15.75" customHeight="1">
      <c r="A80" s="2"/>
      <c r="B80" s="2"/>
      <c r="C80" s="2"/>
      <c r="D80" s="2"/>
      <c r="E80" s="2"/>
      <c r="F80" s="2"/>
      <c r="G80" s="2"/>
      <c r="H80" s="2"/>
    </row>
    <row r="81" ht="15.75" customHeight="1">
      <c r="A81" s="2"/>
      <c r="B81" s="2"/>
      <c r="C81" s="2"/>
      <c r="D81" s="2"/>
      <c r="E81" s="2"/>
      <c r="F81" s="2"/>
      <c r="G81" s="2"/>
      <c r="H81" s="2"/>
    </row>
    <row r="82" ht="15.75" customHeight="1">
      <c r="A82" s="2"/>
      <c r="B82" s="2"/>
      <c r="C82" s="2"/>
      <c r="D82" s="2"/>
      <c r="E82" s="2"/>
      <c r="F82" s="2"/>
      <c r="G82" s="2"/>
      <c r="H82" s="2"/>
    </row>
    <row r="83" ht="15.75" customHeight="1">
      <c r="A83" s="2"/>
      <c r="B83" s="2"/>
      <c r="C83" s="2"/>
      <c r="D83" s="2"/>
      <c r="E83" s="2"/>
      <c r="F83" s="2"/>
      <c r="G83" s="2"/>
      <c r="H83" s="2"/>
    </row>
    <row r="84" ht="15.75" customHeight="1">
      <c r="A84" s="2"/>
      <c r="B84" s="2"/>
      <c r="C84" s="2"/>
      <c r="D84" s="2"/>
      <c r="E84" s="2"/>
      <c r="F84" s="2"/>
      <c r="G84" s="2"/>
      <c r="H84" s="2"/>
    </row>
    <row r="85" ht="15.75" customHeight="1">
      <c r="A85" s="2"/>
      <c r="B85" s="2"/>
      <c r="C85" s="2"/>
      <c r="D85" s="2"/>
      <c r="E85" s="2"/>
      <c r="F85" s="2"/>
      <c r="G85" s="2"/>
      <c r="H85" s="2"/>
    </row>
    <row r="86" ht="15.75" customHeight="1">
      <c r="A86" s="2"/>
      <c r="B86" s="2"/>
      <c r="C86" s="2"/>
      <c r="D86" s="2"/>
      <c r="E86" s="2"/>
      <c r="F86" s="2"/>
      <c r="G86" s="2"/>
      <c r="H86" s="2"/>
    </row>
    <row r="87" ht="15.75" customHeight="1">
      <c r="A87" s="2"/>
      <c r="B87" s="2"/>
      <c r="C87" s="2"/>
      <c r="D87" s="2"/>
      <c r="E87" s="2"/>
      <c r="F87" s="2"/>
      <c r="G87" s="2"/>
      <c r="H87" s="2"/>
    </row>
    <row r="88" ht="15.75" customHeight="1">
      <c r="A88" s="2"/>
      <c r="B88" s="2"/>
      <c r="C88" s="2"/>
      <c r="D88" s="2"/>
      <c r="E88" s="2"/>
      <c r="F88" s="2"/>
      <c r="G88" s="2"/>
      <c r="H88" s="2"/>
    </row>
    <row r="89" ht="15.75" customHeight="1">
      <c r="A89" s="2"/>
      <c r="B89" s="2"/>
      <c r="C89" s="2"/>
      <c r="D89" s="2"/>
      <c r="E89" s="2"/>
      <c r="F89" s="2"/>
      <c r="G89" s="2"/>
      <c r="H89" s="2"/>
    </row>
    <row r="90" ht="15.75" customHeight="1">
      <c r="A90" s="2"/>
      <c r="B90" s="2"/>
      <c r="C90" s="2"/>
      <c r="D90" s="2"/>
      <c r="E90" s="2"/>
      <c r="F90" s="2"/>
      <c r="G90" s="2"/>
      <c r="H90" s="2"/>
    </row>
    <row r="91" ht="15.75" customHeight="1">
      <c r="A91" s="2"/>
      <c r="B91" s="2"/>
      <c r="C91" s="2"/>
      <c r="D91" s="2"/>
      <c r="E91" s="2"/>
      <c r="F91" s="2"/>
      <c r="G91" s="2"/>
      <c r="H91" s="2"/>
    </row>
    <row r="92" ht="15.75" customHeight="1">
      <c r="A92" s="2"/>
      <c r="B92" s="2"/>
      <c r="C92" s="2"/>
      <c r="D92" s="2"/>
      <c r="E92" s="2"/>
      <c r="F92" s="2"/>
      <c r="G92" s="2"/>
      <c r="H92" s="2"/>
    </row>
    <row r="93" ht="15.75" customHeight="1">
      <c r="A93" s="2"/>
      <c r="B93" s="2"/>
      <c r="C93" s="2"/>
      <c r="D93" s="2"/>
      <c r="E93" s="2"/>
      <c r="F93" s="2"/>
      <c r="G93" s="2"/>
      <c r="H93" s="2"/>
    </row>
    <row r="94" ht="15.75" customHeight="1">
      <c r="A94" s="2"/>
      <c r="B94" s="2"/>
      <c r="C94" s="2"/>
      <c r="D94" s="2"/>
      <c r="E94" s="2"/>
      <c r="F94" s="2"/>
      <c r="G94" s="2"/>
      <c r="H94" s="2"/>
    </row>
    <row r="95" ht="15.75" customHeight="1">
      <c r="A95" s="2"/>
      <c r="B95" s="2"/>
      <c r="C95" s="2"/>
      <c r="D95" s="2"/>
      <c r="E95" s="2"/>
      <c r="F95" s="2"/>
      <c r="G95" s="2"/>
      <c r="H95" s="2"/>
    </row>
    <row r="96" ht="15.75" customHeight="1">
      <c r="A96" s="2"/>
      <c r="B96" s="2"/>
      <c r="C96" s="2"/>
      <c r="D96" s="2"/>
      <c r="E96" s="2"/>
      <c r="F96" s="2"/>
      <c r="G96" s="2"/>
      <c r="H96" s="2"/>
    </row>
    <row r="97" ht="15.75" customHeight="1">
      <c r="A97" s="2"/>
      <c r="B97" s="2"/>
      <c r="C97" s="2"/>
      <c r="D97" s="2"/>
      <c r="E97" s="2"/>
      <c r="F97" s="2"/>
      <c r="G97" s="2"/>
      <c r="H97" s="2"/>
    </row>
    <row r="98" ht="15.75" customHeight="1">
      <c r="A98" s="2"/>
      <c r="B98" s="2"/>
      <c r="C98" s="2"/>
      <c r="D98" s="2"/>
      <c r="E98" s="2"/>
      <c r="F98" s="2"/>
      <c r="G98" s="2"/>
      <c r="H98" s="2"/>
    </row>
    <row r="99" ht="15.75" customHeight="1">
      <c r="A99" s="2"/>
      <c r="B99" s="2"/>
      <c r="C99" s="2"/>
      <c r="D99" s="2"/>
      <c r="E99" s="2"/>
      <c r="F99" s="2"/>
      <c r="G99" s="2"/>
      <c r="H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</row>
  </sheetData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4.0"/>
    <col customWidth="1" min="3" max="3" width="22.0"/>
    <col customWidth="1" min="4" max="4" width="30.0"/>
    <col customWidth="1" min="5" max="6" width="18.0"/>
    <col customWidth="1" min="7" max="7" width="20.0"/>
    <col customWidth="1" min="8" max="8" width="24.0"/>
  </cols>
  <sheetData>
    <row r="1">
      <c r="A1" s="18" t="s">
        <v>374</v>
      </c>
      <c r="B1" s="2"/>
      <c r="C1" s="2"/>
      <c r="D1" s="2"/>
      <c r="E1" s="2"/>
      <c r="F1" s="2"/>
      <c r="G1" s="2"/>
      <c r="H1" s="2"/>
    </row>
    <row r="2">
      <c r="A2" s="19" t="s">
        <v>375</v>
      </c>
      <c r="B2" s="2"/>
      <c r="C2" s="2"/>
      <c r="D2" s="2"/>
      <c r="E2" s="2"/>
      <c r="F2" s="2"/>
      <c r="G2" s="2"/>
      <c r="H2" s="2"/>
    </row>
    <row r="3">
      <c r="A3" s="2"/>
      <c r="B3" s="2"/>
      <c r="C3" s="2"/>
      <c r="D3" s="2"/>
      <c r="E3" s="2"/>
      <c r="F3" s="2"/>
      <c r="G3" s="2"/>
      <c r="H3" s="2"/>
    </row>
    <row r="4">
      <c r="A4" s="20" t="s">
        <v>81</v>
      </c>
      <c r="B4" s="20" t="s">
        <v>82</v>
      </c>
      <c r="C4" s="20" t="s">
        <v>83</v>
      </c>
      <c r="D4" s="20" t="s">
        <v>84</v>
      </c>
      <c r="E4" s="20" t="s">
        <v>85</v>
      </c>
      <c r="F4" s="20" t="s">
        <v>86</v>
      </c>
      <c r="G4" s="20" t="s">
        <v>87</v>
      </c>
      <c r="H4" s="20" t="s">
        <v>9</v>
      </c>
    </row>
    <row r="5">
      <c r="A5" s="5">
        <v>1.0</v>
      </c>
      <c r="B5" s="5" t="s">
        <v>45</v>
      </c>
      <c r="C5" s="5">
        <v>60.0</v>
      </c>
      <c r="D5" s="6" t="s">
        <v>91</v>
      </c>
      <c r="E5" s="5" t="str">
        <f>C5</f>
        <v>60</v>
      </c>
      <c r="F5" s="5" t="str">
        <f t="shared" ref="F5:F21" si="1">1200-E5</f>
        <v>1140</v>
      </c>
      <c r="G5" s="8" t="str">
        <f t="shared" ref="G5:G21" si="2">E5/1200</f>
        <v>5.0%</v>
      </c>
      <c r="H5" s="5" t="str">
        <f t="shared" ref="H5:H21" si="3">IF(G5&gt;=1, "100.0% (Package Over)", TEXT(MIN(G5*100, 99.9), "0.0") &amp; "%")</f>
        <v>5.0%</v>
      </c>
    </row>
    <row r="6">
      <c r="A6" s="5">
        <v>2.0</v>
      </c>
      <c r="B6" s="5" t="s">
        <v>49</v>
      </c>
      <c r="C6" s="5">
        <v>60.0</v>
      </c>
      <c r="D6" s="6" t="s">
        <v>95</v>
      </c>
      <c r="E6" s="5" t="str">
        <f t="shared" ref="E6:E21" si="4">E5+C6</f>
        <v>120</v>
      </c>
      <c r="F6" s="5" t="str">
        <f t="shared" si="1"/>
        <v>1080</v>
      </c>
      <c r="G6" s="8" t="str">
        <f t="shared" si="2"/>
        <v>10.0%</v>
      </c>
      <c r="H6" s="5" t="str">
        <f t="shared" si="3"/>
        <v>10.0%</v>
      </c>
    </row>
    <row r="7">
      <c r="A7" s="5">
        <v>3.0</v>
      </c>
      <c r="B7" s="5" t="s">
        <v>303</v>
      </c>
      <c r="C7" s="5">
        <v>60.0</v>
      </c>
      <c r="D7" s="6" t="s">
        <v>91</v>
      </c>
      <c r="E7" s="5" t="str">
        <f t="shared" si="4"/>
        <v>180</v>
      </c>
      <c r="F7" s="5" t="str">
        <f t="shared" si="1"/>
        <v>1020</v>
      </c>
      <c r="G7" s="8" t="str">
        <f t="shared" si="2"/>
        <v>15.0%</v>
      </c>
      <c r="H7" s="5" t="str">
        <f t="shared" si="3"/>
        <v>15.0%</v>
      </c>
    </row>
    <row r="8">
      <c r="A8" s="5">
        <v>4.0</v>
      </c>
      <c r="B8" s="5" t="s">
        <v>376</v>
      </c>
      <c r="C8" s="5">
        <v>60.0</v>
      </c>
      <c r="D8" s="6" t="s">
        <v>366</v>
      </c>
      <c r="E8" s="5" t="str">
        <f t="shared" si="4"/>
        <v>240</v>
      </c>
      <c r="F8" s="5" t="str">
        <f t="shared" si="1"/>
        <v>960</v>
      </c>
      <c r="G8" s="8" t="str">
        <f t="shared" si="2"/>
        <v>20.0%</v>
      </c>
      <c r="H8" s="5" t="str">
        <f t="shared" si="3"/>
        <v>20.0%</v>
      </c>
    </row>
    <row r="9">
      <c r="A9" s="5">
        <v>5.0</v>
      </c>
      <c r="B9" s="5" t="s">
        <v>276</v>
      </c>
      <c r="C9" s="5">
        <v>90.0</v>
      </c>
      <c r="D9" s="6" t="s">
        <v>93</v>
      </c>
      <c r="E9" s="5" t="str">
        <f t="shared" si="4"/>
        <v>330</v>
      </c>
      <c r="F9" s="5" t="str">
        <f t="shared" si="1"/>
        <v>870</v>
      </c>
      <c r="G9" s="8" t="str">
        <f t="shared" si="2"/>
        <v>27.5%</v>
      </c>
      <c r="H9" s="5" t="str">
        <f t="shared" si="3"/>
        <v>27.5%</v>
      </c>
    </row>
    <row r="10">
      <c r="A10" s="5">
        <v>6.0</v>
      </c>
      <c r="B10" s="5" t="s">
        <v>377</v>
      </c>
      <c r="C10" s="5">
        <v>90.0</v>
      </c>
      <c r="D10" s="6" t="s">
        <v>91</v>
      </c>
      <c r="E10" s="5" t="str">
        <f t="shared" si="4"/>
        <v>420</v>
      </c>
      <c r="F10" s="5" t="str">
        <f t="shared" si="1"/>
        <v>780</v>
      </c>
      <c r="G10" s="8" t="str">
        <f t="shared" si="2"/>
        <v>35.0%</v>
      </c>
      <c r="H10" s="5" t="str">
        <f t="shared" si="3"/>
        <v>35.0%</v>
      </c>
    </row>
    <row r="11">
      <c r="A11" s="5">
        <v>7.0</v>
      </c>
      <c r="B11" s="5" t="s">
        <v>378</v>
      </c>
      <c r="C11" s="5">
        <v>60.0</v>
      </c>
      <c r="D11" s="6" t="s">
        <v>106</v>
      </c>
      <c r="E11" s="5" t="str">
        <f t="shared" si="4"/>
        <v>480</v>
      </c>
      <c r="F11" s="5" t="str">
        <f t="shared" si="1"/>
        <v>720</v>
      </c>
      <c r="G11" s="8" t="str">
        <f t="shared" si="2"/>
        <v>40.0%</v>
      </c>
      <c r="H11" s="5" t="str">
        <f t="shared" si="3"/>
        <v>40.0%</v>
      </c>
    </row>
    <row r="12">
      <c r="A12" s="5">
        <v>8.0</v>
      </c>
      <c r="B12" s="5" t="s">
        <v>379</v>
      </c>
      <c r="C12" s="5">
        <v>30.0</v>
      </c>
      <c r="D12" s="6" t="s">
        <v>380</v>
      </c>
      <c r="E12" s="5" t="str">
        <f t="shared" si="4"/>
        <v>510</v>
      </c>
      <c r="F12" s="5" t="str">
        <f t="shared" si="1"/>
        <v>690</v>
      </c>
      <c r="G12" s="8" t="str">
        <f t="shared" si="2"/>
        <v>42.5%</v>
      </c>
      <c r="H12" s="5" t="str">
        <f t="shared" si="3"/>
        <v>42.5%</v>
      </c>
    </row>
    <row r="13">
      <c r="A13" s="5">
        <v>9.0</v>
      </c>
      <c r="B13" s="5" t="s">
        <v>186</v>
      </c>
      <c r="C13" s="5">
        <v>30.0</v>
      </c>
      <c r="D13" s="6" t="s">
        <v>381</v>
      </c>
      <c r="E13" s="5" t="str">
        <f t="shared" si="4"/>
        <v>540</v>
      </c>
      <c r="F13" s="5" t="str">
        <f t="shared" si="1"/>
        <v>660</v>
      </c>
      <c r="G13" s="8" t="str">
        <f t="shared" si="2"/>
        <v>45.0%</v>
      </c>
      <c r="H13" s="5" t="str">
        <f t="shared" si="3"/>
        <v>45.0%</v>
      </c>
    </row>
    <row r="14">
      <c r="A14" s="5">
        <v>10.0</v>
      </c>
      <c r="B14" s="5" t="s">
        <v>186</v>
      </c>
      <c r="C14" s="5">
        <v>60.0</v>
      </c>
      <c r="D14" s="6" t="s">
        <v>382</v>
      </c>
      <c r="E14" s="5" t="str">
        <f t="shared" si="4"/>
        <v>600</v>
      </c>
      <c r="F14" s="5" t="str">
        <f t="shared" si="1"/>
        <v>600</v>
      </c>
      <c r="G14" s="8" t="str">
        <f t="shared" si="2"/>
        <v>50.0%</v>
      </c>
      <c r="H14" s="5" t="str">
        <f t="shared" si="3"/>
        <v>50.0%</v>
      </c>
    </row>
    <row r="15">
      <c r="A15" s="5">
        <v>11.0</v>
      </c>
      <c r="B15" s="5" t="s">
        <v>383</v>
      </c>
      <c r="C15" s="5">
        <v>30.0</v>
      </c>
      <c r="D15" s="6" t="s">
        <v>384</v>
      </c>
      <c r="E15" s="5" t="str">
        <f t="shared" si="4"/>
        <v>630</v>
      </c>
      <c r="F15" s="5" t="str">
        <f t="shared" si="1"/>
        <v>570</v>
      </c>
      <c r="G15" s="8" t="str">
        <f t="shared" si="2"/>
        <v>52.5%</v>
      </c>
      <c r="H15" s="5" t="str">
        <f t="shared" si="3"/>
        <v>52.5%</v>
      </c>
    </row>
    <row r="16">
      <c r="A16" s="5">
        <v>12.0</v>
      </c>
      <c r="B16" s="5" t="s">
        <v>385</v>
      </c>
      <c r="C16" s="5">
        <v>45.0</v>
      </c>
      <c r="D16" s="6" t="s">
        <v>386</v>
      </c>
      <c r="E16" s="5" t="str">
        <f t="shared" si="4"/>
        <v>675</v>
      </c>
      <c r="F16" s="5" t="str">
        <f t="shared" si="1"/>
        <v>525</v>
      </c>
      <c r="G16" s="8" t="str">
        <f t="shared" si="2"/>
        <v>56.3%</v>
      </c>
      <c r="H16" s="5" t="str">
        <f t="shared" si="3"/>
        <v>56.3%</v>
      </c>
    </row>
    <row r="17">
      <c r="A17" s="5">
        <v>13.0</v>
      </c>
      <c r="B17" s="5" t="s">
        <v>385</v>
      </c>
      <c r="C17" s="5">
        <v>30.0</v>
      </c>
      <c r="D17" s="6" t="s">
        <v>382</v>
      </c>
      <c r="E17" s="5" t="str">
        <f t="shared" si="4"/>
        <v>705</v>
      </c>
      <c r="F17" s="5" t="str">
        <f t="shared" si="1"/>
        <v>495</v>
      </c>
      <c r="G17" s="8" t="str">
        <f t="shared" si="2"/>
        <v>58.8%</v>
      </c>
      <c r="H17" s="5" t="str">
        <f t="shared" si="3"/>
        <v>58.8%</v>
      </c>
    </row>
    <row r="18">
      <c r="A18" s="5">
        <v>14.0</v>
      </c>
      <c r="B18" s="5" t="s">
        <v>387</v>
      </c>
      <c r="C18" s="5">
        <v>45.0</v>
      </c>
      <c r="D18" s="6" t="s">
        <v>388</v>
      </c>
      <c r="E18" s="5" t="str">
        <f t="shared" si="4"/>
        <v>750</v>
      </c>
      <c r="F18" s="5" t="str">
        <f t="shared" si="1"/>
        <v>450</v>
      </c>
      <c r="G18" s="8" t="str">
        <f t="shared" si="2"/>
        <v>62.5%</v>
      </c>
      <c r="H18" s="5" t="str">
        <f t="shared" si="3"/>
        <v>62.5%</v>
      </c>
    </row>
    <row r="19">
      <c r="A19" s="5">
        <v>15.0</v>
      </c>
      <c r="B19" s="5" t="s">
        <v>387</v>
      </c>
      <c r="C19" s="5">
        <v>60.0</v>
      </c>
      <c r="D19" s="6" t="s">
        <v>386</v>
      </c>
      <c r="E19" s="5" t="str">
        <f t="shared" si="4"/>
        <v>810</v>
      </c>
      <c r="F19" s="5" t="str">
        <f t="shared" si="1"/>
        <v>390</v>
      </c>
      <c r="G19" s="8" t="str">
        <f t="shared" si="2"/>
        <v>67.5%</v>
      </c>
      <c r="H19" s="5" t="str">
        <f t="shared" si="3"/>
        <v>67.5%</v>
      </c>
    </row>
    <row r="20">
      <c r="A20" s="5">
        <v>16.0</v>
      </c>
      <c r="B20" s="5" t="s">
        <v>190</v>
      </c>
      <c r="C20" s="5">
        <v>60.0</v>
      </c>
      <c r="D20" s="6" t="s">
        <v>388</v>
      </c>
      <c r="E20" s="5" t="str">
        <f t="shared" si="4"/>
        <v>870</v>
      </c>
      <c r="F20" s="5" t="str">
        <f t="shared" si="1"/>
        <v>330</v>
      </c>
      <c r="G20" s="8" t="str">
        <f t="shared" si="2"/>
        <v>72.5%</v>
      </c>
      <c r="H20" s="5" t="str">
        <f t="shared" si="3"/>
        <v>72.5%</v>
      </c>
    </row>
    <row r="21" ht="15.75" customHeight="1">
      <c r="A21" s="5">
        <v>17.0</v>
      </c>
      <c r="B21" s="5" t="s">
        <v>190</v>
      </c>
      <c r="C21" s="5">
        <v>30.0</v>
      </c>
      <c r="D21" s="6" t="s">
        <v>386</v>
      </c>
      <c r="E21" s="5" t="str">
        <f t="shared" si="4"/>
        <v>900</v>
      </c>
      <c r="F21" s="5" t="str">
        <f t="shared" si="1"/>
        <v>300</v>
      </c>
      <c r="G21" s="8" t="str">
        <f t="shared" si="2"/>
        <v>75.0%</v>
      </c>
      <c r="H21" s="5" t="str">
        <f t="shared" si="3"/>
        <v>75.0%</v>
      </c>
    </row>
    <row r="22" ht="15.75" customHeight="1">
      <c r="A22" s="2"/>
      <c r="B22" s="2"/>
      <c r="C22" s="2"/>
      <c r="D22" s="2"/>
      <c r="E22" s="2"/>
      <c r="F22" s="2"/>
      <c r="G22" s="2"/>
      <c r="H22" s="2"/>
    </row>
    <row r="23" ht="15.75" customHeight="1">
      <c r="A23" s="2"/>
      <c r="B23" s="2"/>
      <c r="C23" s="2"/>
      <c r="D23" s="2"/>
      <c r="E23" s="2"/>
      <c r="F23" s="2"/>
      <c r="G23" s="2"/>
      <c r="H23" s="2"/>
    </row>
    <row r="24" ht="15.75" customHeight="1">
      <c r="A24" s="2"/>
      <c r="B24" s="2"/>
      <c r="C24" s="2"/>
      <c r="D24" s="2"/>
      <c r="E24" s="2"/>
      <c r="F24" s="2"/>
      <c r="G24" s="2"/>
      <c r="H24" s="2"/>
    </row>
    <row r="25" ht="15.75" customHeight="1">
      <c r="A25" s="2"/>
      <c r="B25" s="2"/>
      <c r="C25" s="2"/>
      <c r="D25" s="2"/>
      <c r="E25" s="2"/>
      <c r="F25" s="2"/>
      <c r="G25" s="2"/>
      <c r="H25" s="2"/>
    </row>
    <row r="26" ht="15.75" customHeight="1">
      <c r="A26" s="2"/>
      <c r="B26" s="2"/>
      <c r="C26" s="2"/>
      <c r="D26" s="2"/>
      <c r="E26" s="2"/>
      <c r="F26" s="2"/>
      <c r="G26" s="2"/>
      <c r="H26" s="2"/>
    </row>
    <row r="27" ht="15.75" customHeight="1">
      <c r="A27" s="2"/>
      <c r="B27" s="2"/>
      <c r="C27" s="2"/>
      <c r="D27" s="2"/>
      <c r="E27" s="2"/>
      <c r="F27" s="2"/>
      <c r="G27" s="2"/>
      <c r="H27" s="2"/>
    </row>
    <row r="28" ht="15.75" customHeight="1">
      <c r="A28" s="2"/>
      <c r="B28" s="2"/>
      <c r="C28" s="2"/>
      <c r="D28" s="2"/>
      <c r="E28" s="2"/>
      <c r="F28" s="2"/>
      <c r="G28" s="2"/>
      <c r="H28" s="2"/>
    </row>
    <row r="29" ht="15.75" customHeight="1">
      <c r="A29" s="2"/>
      <c r="B29" s="2"/>
      <c r="C29" s="2"/>
      <c r="D29" s="2"/>
      <c r="E29" s="2"/>
      <c r="F29" s="2"/>
      <c r="G29" s="2"/>
      <c r="H29" s="2"/>
    </row>
    <row r="30" ht="15.75" customHeight="1">
      <c r="A30" s="2"/>
      <c r="B30" s="2"/>
      <c r="C30" s="2"/>
      <c r="D30" s="2"/>
      <c r="E30" s="2"/>
      <c r="F30" s="2"/>
      <c r="G30" s="2"/>
      <c r="H30" s="2"/>
    </row>
    <row r="31" ht="15.75" customHeight="1">
      <c r="A31" s="2"/>
      <c r="B31" s="2"/>
      <c r="C31" s="2"/>
      <c r="D31" s="2"/>
      <c r="E31" s="2"/>
      <c r="F31" s="2"/>
      <c r="G31" s="2"/>
      <c r="H31" s="2"/>
    </row>
    <row r="32" ht="15.75" customHeight="1">
      <c r="A32" s="2"/>
      <c r="B32" s="2"/>
      <c r="C32" s="2"/>
      <c r="D32" s="2"/>
      <c r="E32" s="2"/>
      <c r="F32" s="2"/>
      <c r="G32" s="2"/>
      <c r="H32" s="2"/>
    </row>
    <row r="33" ht="15.75" customHeight="1">
      <c r="A33" s="2"/>
      <c r="B33" s="2"/>
      <c r="C33" s="2"/>
      <c r="D33" s="2"/>
      <c r="E33" s="2"/>
      <c r="F33" s="2"/>
      <c r="G33" s="2"/>
      <c r="H33" s="2"/>
    </row>
    <row r="34" ht="15.75" customHeight="1">
      <c r="A34" s="2"/>
      <c r="B34" s="2"/>
      <c r="C34" s="2"/>
      <c r="D34" s="2"/>
      <c r="E34" s="2"/>
      <c r="F34" s="2"/>
      <c r="G34" s="2"/>
      <c r="H34" s="2"/>
    </row>
    <row r="35" ht="15.75" customHeight="1">
      <c r="A35" s="2"/>
      <c r="B35" s="2"/>
      <c r="C35" s="2"/>
      <c r="D35" s="2"/>
      <c r="E35" s="2"/>
      <c r="F35" s="2"/>
      <c r="G35" s="2"/>
      <c r="H35" s="2"/>
    </row>
    <row r="36" ht="15.75" customHeight="1">
      <c r="A36" s="2"/>
      <c r="B36" s="2"/>
      <c r="C36" s="2"/>
      <c r="D36" s="2"/>
      <c r="E36" s="2"/>
      <c r="F36" s="2"/>
      <c r="G36" s="2"/>
      <c r="H36" s="2"/>
    </row>
    <row r="37" ht="15.75" customHeight="1">
      <c r="A37" s="2"/>
      <c r="B37" s="2"/>
      <c r="C37" s="2"/>
      <c r="D37" s="2"/>
      <c r="E37" s="2"/>
      <c r="F37" s="2"/>
      <c r="G37" s="2"/>
      <c r="H37" s="2"/>
    </row>
    <row r="38" ht="15.75" customHeight="1">
      <c r="A38" s="2"/>
      <c r="B38" s="2"/>
      <c r="C38" s="2"/>
      <c r="D38" s="2"/>
      <c r="E38" s="2"/>
      <c r="F38" s="2"/>
      <c r="G38" s="2"/>
      <c r="H38" s="2"/>
    </row>
    <row r="39" ht="15.75" customHeight="1">
      <c r="A39" s="2"/>
      <c r="B39" s="2"/>
      <c r="C39" s="2"/>
      <c r="D39" s="2"/>
      <c r="E39" s="2"/>
      <c r="F39" s="2"/>
      <c r="G39" s="2"/>
      <c r="H39" s="2"/>
    </row>
    <row r="40" ht="15.75" customHeight="1">
      <c r="A40" s="2"/>
      <c r="B40" s="2"/>
      <c r="C40" s="2"/>
      <c r="D40" s="2"/>
      <c r="E40" s="2"/>
      <c r="F40" s="2"/>
      <c r="G40" s="2"/>
      <c r="H40" s="2"/>
    </row>
    <row r="41" ht="15.75" customHeight="1">
      <c r="A41" s="2"/>
      <c r="B41" s="2"/>
      <c r="C41" s="2"/>
      <c r="D41" s="2"/>
      <c r="E41" s="2"/>
      <c r="F41" s="2"/>
      <c r="G41" s="2"/>
      <c r="H41" s="2"/>
    </row>
    <row r="42" ht="15.75" customHeight="1">
      <c r="A42" s="2"/>
      <c r="B42" s="2"/>
      <c r="C42" s="2"/>
      <c r="D42" s="2"/>
      <c r="E42" s="2"/>
      <c r="F42" s="2"/>
      <c r="G42" s="2"/>
      <c r="H42" s="2"/>
    </row>
    <row r="43" ht="15.75" customHeight="1">
      <c r="A43" s="2"/>
      <c r="B43" s="2"/>
      <c r="C43" s="2"/>
      <c r="D43" s="2"/>
      <c r="E43" s="2"/>
      <c r="F43" s="2"/>
      <c r="G43" s="2"/>
      <c r="H43" s="2"/>
    </row>
    <row r="44" ht="15.75" customHeight="1">
      <c r="A44" s="2"/>
      <c r="B44" s="2"/>
      <c r="C44" s="2"/>
      <c r="D44" s="2"/>
      <c r="E44" s="2"/>
      <c r="F44" s="2"/>
      <c r="G44" s="2"/>
      <c r="H44" s="2"/>
    </row>
    <row r="45" ht="15.75" customHeight="1">
      <c r="A45" s="2"/>
      <c r="B45" s="2"/>
      <c r="C45" s="2"/>
      <c r="D45" s="2"/>
      <c r="E45" s="2"/>
      <c r="F45" s="2"/>
      <c r="G45" s="2"/>
      <c r="H45" s="2"/>
    </row>
    <row r="46" ht="15.75" customHeight="1">
      <c r="A46" s="2"/>
      <c r="B46" s="2"/>
      <c r="C46" s="2"/>
      <c r="D46" s="2"/>
      <c r="E46" s="2"/>
      <c r="F46" s="2"/>
      <c r="G46" s="2"/>
      <c r="H46" s="2"/>
    </row>
    <row r="47" ht="15.75" customHeight="1">
      <c r="A47" s="2"/>
      <c r="B47" s="2"/>
      <c r="C47" s="2"/>
      <c r="D47" s="2"/>
      <c r="E47" s="2"/>
      <c r="F47" s="2"/>
      <c r="G47" s="2"/>
      <c r="H47" s="2"/>
    </row>
    <row r="48" ht="15.75" customHeight="1">
      <c r="A48" s="2"/>
      <c r="B48" s="2"/>
      <c r="C48" s="2"/>
      <c r="D48" s="2"/>
      <c r="E48" s="2"/>
      <c r="F48" s="2"/>
      <c r="G48" s="2"/>
      <c r="H48" s="2"/>
    </row>
    <row r="49" ht="15.75" customHeight="1">
      <c r="A49" s="2"/>
      <c r="B49" s="2"/>
      <c r="C49" s="2"/>
      <c r="D49" s="2"/>
      <c r="E49" s="2"/>
      <c r="F49" s="2"/>
      <c r="G49" s="2"/>
      <c r="H49" s="2"/>
    </row>
    <row r="50" ht="15.75" customHeight="1">
      <c r="A50" s="2"/>
      <c r="B50" s="2"/>
      <c r="C50" s="2"/>
      <c r="D50" s="2"/>
      <c r="E50" s="2"/>
      <c r="F50" s="2"/>
      <c r="G50" s="2"/>
      <c r="H50" s="2"/>
    </row>
    <row r="51" ht="15.75" customHeight="1">
      <c r="A51" s="2"/>
      <c r="B51" s="2"/>
      <c r="C51" s="2"/>
      <c r="D51" s="2"/>
      <c r="E51" s="2"/>
      <c r="F51" s="2"/>
      <c r="G51" s="2"/>
      <c r="H51" s="2"/>
    </row>
    <row r="52" ht="15.75" customHeight="1">
      <c r="A52" s="2"/>
      <c r="B52" s="2"/>
      <c r="C52" s="2"/>
      <c r="D52" s="2"/>
      <c r="E52" s="2"/>
      <c r="F52" s="2"/>
      <c r="G52" s="2"/>
      <c r="H52" s="2"/>
    </row>
    <row r="53" ht="15.75" customHeight="1">
      <c r="A53" s="2"/>
      <c r="B53" s="2"/>
      <c r="C53" s="2"/>
      <c r="D53" s="2"/>
      <c r="E53" s="2"/>
      <c r="F53" s="2"/>
      <c r="G53" s="2"/>
      <c r="H53" s="2"/>
    </row>
    <row r="54" ht="15.75" customHeight="1">
      <c r="A54" s="2"/>
      <c r="B54" s="2"/>
      <c r="C54" s="2"/>
      <c r="D54" s="2"/>
      <c r="E54" s="2"/>
      <c r="F54" s="2"/>
      <c r="G54" s="2"/>
      <c r="H54" s="2"/>
    </row>
    <row r="55" ht="15.75" customHeight="1">
      <c r="A55" s="2"/>
      <c r="B55" s="2"/>
      <c r="C55" s="2"/>
      <c r="D55" s="2"/>
      <c r="E55" s="2"/>
      <c r="F55" s="2"/>
      <c r="G55" s="2"/>
      <c r="H55" s="2"/>
    </row>
    <row r="56" ht="15.75" customHeight="1">
      <c r="A56" s="2"/>
      <c r="B56" s="2"/>
      <c r="C56" s="2"/>
      <c r="D56" s="2"/>
      <c r="E56" s="2"/>
      <c r="F56" s="2"/>
      <c r="G56" s="2"/>
      <c r="H56" s="2"/>
    </row>
    <row r="57" ht="15.75" customHeight="1">
      <c r="A57" s="2"/>
      <c r="B57" s="2"/>
      <c r="C57" s="2"/>
      <c r="D57" s="2"/>
      <c r="E57" s="2"/>
      <c r="F57" s="2"/>
      <c r="G57" s="2"/>
      <c r="H57" s="2"/>
    </row>
    <row r="58" ht="15.75" customHeight="1">
      <c r="A58" s="2"/>
      <c r="B58" s="2"/>
      <c r="C58" s="2"/>
      <c r="D58" s="2"/>
      <c r="E58" s="2"/>
      <c r="F58" s="2"/>
      <c r="G58" s="2"/>
      <c r="H58" s="2"/>
    </row>
    <row r="59" ht="15.75" customHeight="1">
      <c r="A59" s="2"/>
      <c r="B59" s="2"/>
      <c r="C59" s="2"/>
      <c r="D59" s="2"/>
      <c r="E59" s="2"/>
      <c r="F59" s="2"/>
      <c r="G59" s="2"/>
      <c r="H59" s="2"/>
    </row>
    <row r="60" ht="15.75" customHeight="1">
      <c r="A60" s="2"/>
      <c r="B60" s="2"/>
      <c r="C60" s="2"/>
      <c r="D60" s="2"/>
      <c r="E60" s="2"/>
      <c r="F60" s="2"/>
      <c r="G60" s="2"/>
      <c r="H60" s="2"/>
    </row>
    <row r="61" ht="15.75" customHeight="1">
      <c r="A61" s="2"/>
      <c r="B61" s="2"/>
      <c r="C61" s="2"/>
      <c r="D61" s="2"/>
      <c r="E61" s="2"/>
      <c r="F61" s="2"/>
      <c r="G61" s="2"/>
      <c r="H61" s="2"/>
    </row>
    <row r="62" ht="15.75" customHeight="1">
      <c r="A62" s="2"/>
      <c r="B62" s="2"/>
      <c r="C62" s="2"/>
      <c r="D62" s="2"/>
      <c r="E62" s="2"/>
      <c r="F62" s="2"/>
      <c r="G62" s="2"/>
      <c r="H62" s="2"/>
    </row>
    <row r="63" ht="15.75" customHeight="1">
      <c r="A63" s="2"/>
      <c r="B63" s="2"/>
      <c r="C63" s="2"/>
      <c r="D63" s="2"/>
      <c r="E63" s="2"/>
      <c r="F63" s="2"/>
      <c r="G63" s="2"/>
      <c r="H63" s="2"/>
    </row>
    <row r="64" ht="15.75" customHeight="1">
      <c r="A64" s="2"/>
      <c r="B64" s="2"/>
      <c r="C64" s="2"/>
      <c r="D64" s="2"/>
      <c r="E64" s="2"/>
      <c r="F64" s="2"/>
      <c r="G64" s="2"/>
      <c r="H64" s="2"/>
    </row>
    <row r="65" ht="15.75" customHeight="1">
      <c r="A65" s="2"/>
      <c r="B65" s="2"/>
      <c r="C65" s="2"/>
      <c r="D65" s="2"/>
      <c r="E65" s="2"/>
      <c r="F65" s="2"/>
      <c r="G65" s="2"/>
      <c r="H65" s="2"/>
    </row>
    <row r="66" ht="15.75" customHeight="1">
      <c r="A66" s="2"/>
      <c r="B66" s="2"/>
      <c r="C66" s="2"/>
      <c r="D66" s="2"/>
      <c r="E66" s="2"/>
      <c r="F66" s="2"/>
      <c r="G66" s="2"/>
      <c r="H66" s="2"/>
    </row>
    <row r="67" ht="15.75" customHeight="1">
      <c r="A67" s="2"/>
      <c r="B67" s="2"/>
      <c r="C67" s="2"/>
      <c r="D67" s="2"/>
      <c r="E67" s="2"/>
      <c r="F67" s="2"/>
      <c r="G67" s="2"/>
      <c r="H67" s="2"/>
    </row>
    <row r="68" ht="15.75" customHeight="1">
      <c r="A68" s="2"/>
      <c r="B68" s="2"/>
      <c r="C68" s="2"/>
      <c r="D68" s="2"/>
      <c r="E68" s="2"/>
      <c r="F68" s="2"/>
      <c r="G68" s="2"/>
      <c r="H68" s="2"/>
    </row>
    <row r="69" ht="15.75" customHeight="1">
      <c r="A69" s="2"/>
      <c r="B69" s="2"/>
      <c r="C69" s="2"/>
      <c r="D69" s="2"/>
      <c r="E69" s="2"/>
      <c r="F69" s="2"/>
      <c r="G69" s="2"/>
      <c r="H69" s="2"/>
    </row>
    <row r="70" ht="15.75" customHeight="1">
      <c r="A70" s="2"/>
      <c r="B70" s="2"/>
      <c r="C70" s="2"/>
      <c r="D70" s="2"/>
      <c r="E70" s="2"/>
      <c r="F70" s="2"/>
      <c r="G70" s="2"/>
      <c r="H70" s="2"/>
    </row>
    <row r="71" ht="15.75" customHeight="1">
      <c r="A71" s="2"/>
      <c r="B71" s="2"/>
      <c r="C71" s="2"/>
      <c r="D71" s="2"/>
      <c r="E71" s="2"/>
      <c r="F71" s="2"/>
      <c r="G71" s="2"/>
      <c r="H71" s="2"/>
    </row>
    <row r="72" ht="15.75" customHeight="1">
      <c r="A72" s="2"/>
      <c r="B72" s="2"/>
      <c r="C72" s="2"/>
      <c r="D72" s="2"/>
      <c r="E72" s="2"/>
      <c r="F72" s="2"/>
      <c r="G72" s="2"/>
      <c r="H72" s="2"/>
    </row>
    <row r="73" ht="15.75" customHeight="1">
      <c r="A73" s="2"/>
      <c r="B73" s="2"/>
      <c r="C73" s="2"/>
      <c r="D73" s="2"/>
      <c r="E73" s="2"/>
      <c r="F73" s="2"/>
      <c r="G73" s="2"/>
      <c r="H73" s="2"/>
    </row>
    <row r="74" ht="15.75" customHeight="1">
      <c r="A74" s="2"/>
      <c r="B74" s="2"/>
      <c r="C74" s="2"/>
      <c r="D74" s="2"/>
      <c r="E74" s="2"/>
      <c r="F74" s="2"/>
      <c r="G74" s="2"/>
      <c r="H74" s="2"/>
    </row>
    <row r="75" ht="15.75" customHeight="1">
      <c r="A75" s="2"/>
      <c r="B75" s="2"/>
      <c r="C75" s="2"/>
      <c r="D75" s="2"/>
      <c r="E75" s="2"/>
      <c r="F75" s="2"/>
      <c r="G75" s="2"/>
      <c r="H75" s="2"/>
    </row>
    <row r="76" ht="15.75" customHeight="1">
      <c r="A76" s="2"/>
      <c r="B76" s="2"/>
      <c r="C76" s="2"/>
      <c r="D76" s="2"/>
      <c r="E76" s="2"/>
      <c r="F76" s="2"/>
      <c r="G76" s="2"/>
      <c r="H76" s="2"/>
    </row>
    <row r="77" ht="15.75" customHeight="1">
      <c r="A77" s="2"/>
      <c r="B77" s="2"/>
      <c r="C77" s="2"/>
      <c r="D77" s="2"/>
      <c r="E77" s="2"/>
      <c r="F77" s="2"/>
      <c r="G77" s="2"/>
      <c r="H77" s="2"/>
    </row>
    <row r="78" ht="15.75" customHeight="1">
      <c r="A78" s="2"/>
      <c r="B78" s="2"/>
      <c r="C78" s="2"/>
      <c r="D78" s="2"/>
      <c r="E78" s="2"/>
      <c r="F78" s="2"/>
      <c r="G78" s="2"/>
      <c r="H78" s="2"/>
    </row>
    <row r="79" ht="15.75" customHeight="1">
      <c r="A79" s="2"/>
      <c r="B79" s="2"/>
      <c r="C79" s="2"/>
      <c r="D79" s="2"/>
      <c r="E79" s="2"/>
      <c r="F79" s="2"/>
      <c r="G79" s="2"/>
      <c r="H79" s="2"/>
    </row>
    <row r="80" ht="15.75" customHeight="1">
      <c r="A80" s="2"/>
      <c r="B80" s="2"/>
      <c r="C80" s="2"/>
      <c r="D80" s="2"/>
      <c r="E80" s="2"/>
      <c r="F80" s="2"/>
      <c r="G80" s="2"/>
      <c r="H80" s="2"/>
    </row>
    <row r="81" ht="15.75" customHeight="1">
      <c r="A81" s="2"/>
      <c r="B81" s="2"/>
      <c r="C81" s="2"/>
      <c r="D81" s="2"/>
      <c r="E81" s="2"/>
      <c r="F81" s="2"/>
      <c r="G81" s="2"/>
      <c r="H81" s="2"/>
    </row>
    <row r="82" ht="15.75" customHeight="1">
      <c r="A82" s="2"/>
      <c r="B82" s="2"/>
      <c r="C82" s="2"/>
      <c r="D82" s="2"/>
      <c r="E82" s="2"/>
      <c r="F82" s="2"/>
      <c r="G82" s="2"/>
      <c r="H82" s="2"/>
    </row>
    <row r="83" ht="15.75" customHeight="1">
      <c r="A83" s="2"/>
      <c r="B83" s="2"/>
      <c r="C83" s="2"/>
      <c r="D83" s="2"/>
      <c r="E83" s="2"/>
      <c r="F83" s="2"/>
      <c r="G83" s="2"/>
      <c r="H83" s="2"/>
    </row>
    <row r="84" ht="15.75" customHeight="1">
      <c r="A84" s="2"/>
      <c r="B84" s="2"/>
      <c r="C84" s="2"/>
      <c r="D84" s="2"/>
      <c r="E84" s="2"/>
      <c r="F84" s="2"/>
      <c r="G84" s="2"/>
      <c r="H84" s="2"/>
    </row>
    <row r="85" ht="15.75" customHeight="1">
      <c r="A85" s="2"/>
      <c r="B85" s="2"/>
      <c r="C85" s="2"/>
      <c r="D85" s="2"/>
      <c r="E85" s="2"/>
      <c r="F85" s="2"/>
      <c r="G85" s="2"/>
      <c r="H85" s="2"/>
    </row>
    <row r="86" ht="15.75" customHeight="1">
      <c r="A86" s="2"/>
      <c r="B86" s="2"/>
      <c r="C86" s="2"/>
      <c r="D86" s="2"/>
      <c r="E86" s="2"/>
      <c r="F86" s="2"/>
      <c r="G86" s="2"/>
      <c r="H86" s="2"/>
    </row>
    <row r="87" ht="15.75" customHeight="1">
      <c r="A87" s="2"/>
      <c r="B87" s="2"/>
      <c r="C87" s="2"/>
      <c r="D87" s="2"/>
      <c r="E87" s="2"/>
      <c r="F87" s="2"/>
      <c r="G87" s="2"/>
      <c r="H87" s="2"/>
    </row>
    <row r="88" ht="15.75" customHeight="1">
      <c r="A88" s="2"/>
      <c r="B88" s="2"/>
      <c r="C88" s="2"/>
      <c r="D88" s="2"/>
      <c r="E88" s="2"/>
      <c r="F88" s="2"/>
      <c r="G88" s="2"/>
      <c r="H88" s="2"/>
    </row>
    <row r="89" ht="15.75" customHeight="1">
      <c r="A89" s="2"/>
      <c r="B89" s="2"/>
      <c r="C89" s="2"/>
      <c r="D89" s="2"/>
      <c r="E89" s="2"/>
      <c r="F89" s="2"/>
      <c r="G89" s="2"/>
      <c r="H89" s="2"/>
    </row>
    <row r="90" ht="15.75" customHeight="1">
      <c r="A90" s="2"/>
      <c r="B90" s="2"/>
      <c r="C90" s="2"/>
      <c r="D90" s="2"/>
      <c r="E90" s="2"/>
      <c r="F90" s="2"/>
      <c r="G90" s="2"/>
      <c r="H90" s="2"/>
    </row>
    <row r="91" ht="15.75" customHeight="1">
      <c r="A91" s="2"/>
      <c r="B91" s="2"/>
      <c r="C91" s="2"/>
      <c r="D91" s="2"/>
      <c r="E91" s="2"/>
      <c r="F91" s="2"/>
      <c r="G91" s="2"/>
      <c r="H91" s="2"/>
    </row>
    <row r="92" ht="15.75" customHeight="1">
      <c r="A92" s="2"/>
      <c r="B92" s="2"/>
      <c r="C92" s="2"/>
      <c r="D92" s="2"/>
      <c r="E92" s="2"/>
      <c r="F92" s="2"/>
      <c r="G92" s="2"/>
      <c r="H92" s="2"/>
    </row>
    <row r="93" ht="15.75" customHeight="1">
      <c r="A93" s="2"/>
      <c r="B93" s="2"/>
      <c r="C93" s="2"/>
      <c r="D93" s="2"/>
      <c r="E93" s="2"/>
      <c r="F93" s="2"/>
      <c r="G93" s="2"/>
      <c r="H93" s="2"/>
    </row>
    <row r="94" ht="15.75" customHeight="1">
      <c r="A94" s="2"/>
      <c r="B94" s="2"/>
      <c r="C94" s="2"/>
      <c r="D94" s="2"/>
      <c r="E94" s="2"/>
      <c r="F94" s="2"/>
      <c r="G94" s="2"/>
      <c r="H94" s="2"/>
    </row>
    <row r="95" ht="15.75" customHeight="1">
      <c r="A95" s="2"/>
      <c r="B95" s="2"/>
      <c r="C95" s="2"/>
      <c r="D95" s="2"/>
      <c r="E95" s="2"/>
      <c r="F95" s="2"/>
      <c r="G95" s="2"/>
      <c r="H95" s="2"/>
    </row>
    <row r="96" ht="15.75" customHeight="1">
      <c r="A96" s="2"/>
      <c r="B96" s="2"/>
      <c r="C96" s="2"/>
      <c r="D96" s="2"/>
      <c r="E96" s="2"/>
      <c r="F96" s="2"/>
      <c r="G96" s="2"/>
      <c r="H96" s="2"/>
    </row>
    <row r="97" ht="15.75" customHeight="1">
      <c r="A97" s="2"/>
      <c r="B97" s="2"/>
      <c r="C97" s="2"/>
      <c r="D97" s="2"/>
      <c r="E97" s="2"/>
      <c r="F97" s="2"/>
      <c r="G97" s="2"/>
      <c r="H97" s="2"/>
    </row>
    <row r="98" ht="15.75" customHeight="1">
      <c r="A98" s="2"/>
      <c r="B98" s="2"/>
      <c r="C98" s="2"/>
      <c r="D98" s="2"/>
      <c r="E98" s="2"/>
      <c r="F98" s="2"/>
      <c r="G98" s="2"/>
      <c r="H98" s="2"/>
    </row>
    <row r="99" ht="15.75" customHeight="1">
      <c r="A99" s="2"/>
      <c r="B99" s="2"/>
      <c r="C99" s="2"/>
      <c r="D99" s="2"/>
      <c r="E99" s="2"/>
      <c r="F99" s="2"/>
      <c r="G99" s="2"/>
      <c r="H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</row>
  </sheetData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4.0"/>
    <col customWidth="1" min="3" max="3" width="22.0"/>
    <col customWidth="1" min="4" max="4" width="30.0"/>
    <col customWidth="1" min="5" max="6" width="18.0"/>
    <col customWidth="1" min="7" max="7" width="20.0"/>
    <col customWidth="1" min="8" max="8" width="24.0"/>
  </cols>
  <sheetData>
    <row r="1">
      <c r="A1" s="18" t="s">
        <v>389</v>
      </c>
      <c r="B1" s="2"/>
      <c r="C1" s="2"/>
      <c r="D1" s="2"/>
      <c r="E1" s="2"/>
      <c r="F1" s="2"/>
      <c r="G1" s="2"/>
      <c r="H1" s="2"/>
    </row>
    <row r="2">
      <c r="A2" s="19" t="s">
        <v>390</v>
      </c>
      <c r="B2" s="2"/>
      <c r="C2" s="2"/>
      <c r="D2" s="2"/>
      <c r="E2" s="2"/>
      <c r="F2" s="2"/>
      <c r="G2" s="2"/>
      <c r="H2" s="2"/>
    </row>
    <row r="3">
      <c r="A3" s="2"/>
      <c r="B3" s="2"/>
      <c r="C3" s="2"/>
      <c r="D3" s="2"/>
      <c r="E3" s="2"/>
      <c r="F3" s="2"/>
      <c r="G3" s="2"/>
      <c r="H3" s="2"/>
    </row>
    <row r="4">
      <c r="A4" s="20" t="s">
        <v>81</v>
      </c>
      <c r="B4" s="20" t="s">
        <v>82</v>
      </c>
      <c r="C4" s="20" t="s">
        <v>83</v>
      </c>
      <c r="D4" s="20" t="s">
        <v>84</v>
      </c>
      <c r="E4" s="20" t="s">
        <v>85</v>
      </c>
      <c r="F4" s="20" t="s">
        <v>86</v>
      </c>
      <c r="G4" s="20" t="s">
        <v>87</v>
      </c>
      <c r="H4" s="20" t="s">
        <v>9</v>
      </c>
    </row>
    <row r="5">
      <c r="A5" s="5">
        <v>1.0</v>
      </c>
      <c r="B5" s="5" t="s">
        <v>47</v>
      </c>
      <c r="C5" s="5">
        <v>2200.0</v>
      </c>
      <c r="D5" s="6" t="s">
        <v>391</v>
      </c>
      <c r="E5" s="5" t="str">
        <f>C5</f>
        <v>2200</v>
      </c>
      <c r="F5" s="5" t="str">
        <f t="shared" ref="F5:F12" si="1">8650-E5</f>
        <v>6450</v>
      </c>
      <c r="G5" s="8" t="str">
        <f t="shared" ref="G5:G12" si="2">E5/8650</f>
        <v>25.4%</v>
      </c>
      <c r="H5" s="5" t="str">
        <f t="shared" ref="H5:H12" si="3">IF(G5&gt;=1, "100.0% (Package Over)", TEXT(MIN(G5*100, 99.9), "0.0") &amp; "%")</f>
        <v>25.4%</v>
      </c>
    </row>
    <row r="6">
      <c r="A6" s="5">
        <v>2.0</v>
      </c>
      <c r="B6" s="5" t="s">
        <v>357</v>
      </c>
      <c r="C6" s="5">
        <v>950.0</v>
      </c>
      <c r="D6" s="6" t="s">
        <v>91</v>
      </c>
      <c r="E6" s="5" t="str">
        <f t="shared" ref="E6:E12" si="4">E5+C6</f>
        <v>3150</v>
      </c>
      <c r="F6" s="5" t="str">
        <f t="shared" si="1"/>
        <v>5500</v>
      </c>
      <c r="G6" s="8" t="str">
        <f t="shared" si="2"/>
        <v>36.4%</v>
      </c>
      <c r="H6" s="5" t="str">
        <f t="shared" si="3"/>
        <v>36.4%</v>
      </c>
    </row>
    <row r="7">
      <c r="A7" s="5">
        <v>3.0</v>
      </c>
      <c r="B7" s="5" t="s">
        <v>357</v>
      </c>
      <c r="C7" s="5">
        <v>950.0</v>
      </c>
      <c r="D7" s="6" t="s">
        <v>95</v>
      </c>
      <c r="E7" s="5" t="str">
        <f t="shared" si="4"/>
        <v>4100</v>
      </c>
      <c r="F7" s="5" t="str">
        <f t="shared" si="1"/>
        <v>4550</v>
      </c>
      <c r="G7" s="8" t="str">
        <f t="shared" si="2"/>
        <v>47.4%</v>
      </c>
      <c r="H7" s="5" t="str">
        <f t="shared" si="3"/>
        <v>47.4%</v>
      </c>
    </row>
    <row r="8">
      <c r="A8" s="5">
        <v>4.0</v>
      </c>
      <c r="B8" s="5" t="s">
        <v>284</v>
      </c>
      <c r="C8" s="5">
        <v>950.0</v>
      </c>
      <c r="D8" s="6" t="s">
        <v>101</v>
      </c>
      <c r="E8" s="5" t="str">
        <f t="shared" si="4"/>
        <v>5050</v>
      </c>
      <c r="F8" s="5" t="str">
        <f t="shared" si="1"/>
        <v>3600</v>
      </c>
      <c r="G8" s="8" t="str">
        <f t="shared" si="2"/>
        <v>58.4%</v>
      </c>
      <c r="H8" s="5" t="str">
        <f t="shared" si="3"/>
        <v>58.4%</v>
      </c>
    </row>
    <row r="9">
      <c r="A9" s="5">
        <v>5.0</v>
      </c>
      <c r="B9" s="5" t="s">
        <v>284</v>
      </c>
      <c r="C9" s="5">
        <v>950.0</v>
      </c>
      <c r="D9" s="6" t="s">
        <v>95</v>
      </c>
      <c r="E9" s="5" t="str">
        <f t="shared" si="4"/>
        <v>6000</v>
      </c>
      <c r="F9" s="5" t="str">
        <f t="shared" si="1"/>
        <v>2650</v>
      </c>
      <c r="G9" s="8" t="str">
        <f t="shared" si="2"/>
        <v>69.4%</v>
      </c>
      <c r="H9" s="5" t="str">
        <f t="shared" si="3"/>
        <v>69.4%</v>
      </c>
    </row>
    <row r="10">
      <c r="A10" s="5">
        <v>6.0</v>
      </c>
      <c r="B10" s="5" t="s">
        <v>284</v>
      </c>
      <c r="C10" s="5">
        <v>950.0</v>
      </c>
      <c r="D10" s="6" t="s">
        <v>392</v>
      </c>
      <c r="E10" s="5" t="str">
        <f t="shared" si="4"/>
        <v>6950</v>
      </c>
      <c r="F10" s="5" t="str">
        <f t="shared" si="1"/>
        <v>1700</v>
      </c>
      <c r="G10" s="8" t="str">
        <f t="shared" si="2"/>
        <v>80.3%</v>
      </c>
      <c r="H10" s="5" t="str">
        <f t="shared" si="3"/>
        <v>80.3%</v>
      </c>
    </row>
    <row r="11">
      <c r="A11" s="5">
        <v>7.0</v>
      </c>
      <c r="B11" s="5" t="s">
        <v>284</v>
      </c>
      <c r="C11" s="5">
        <v>950.0</v>
      </c>
      <c r="D11" s="6" t="s">
        <v>393</v>
      </c>
      <c r="E11" s="5" t="str">
        <f t="shared" si="4"/>
        <v>7900</v>
      </c>
      <c r="F11" s="5" t="str">
        <f t="shared" si="1"/>
        <v>750</v>
      </c>
      <c r="G11" s="8" t="str">
        <f t="shared" si="2"/>
        <v>91.3%</v>
      </c>
      <c r="H11" s="5" t="str">
        <f t="shared" si="3"/>
        <v>91.3%</v>
      </c>
    </row>
    <row r="12">
      <c r="A12" s="5">
        <v>8.0</v>
      </c>
      <c r="B12" s="5" t="s">
        <v>284</v>
      </c>
      <c r="C12" s="5">
        <v>750.0</v>
      </c>
      <c r="D12" s="6" t="s">
        <v>394</v>
      </c>
      <c r="E12" s="5" t="str">
        <f t="shared" si="4"/>
        <v>8650</v>
      </c>
      <c r="F12" s="5" t="str">
        <f t="shared" si="1"/>
        <v>0</v>
      </c>
      <c r="G12" s="8" t="str">
        <f t="shared" si="2"/>
        <v>100.0%</v>
      </c>
      <c r="H12" s="5" t="str">
        <f t="shared" si="3"/>
        <v>100.0% (Package Over)</v>
      </c>
    </row>
    <row r="13">
      <c r="A13" s="2"/>
      <c r="B13" s="2"/>
      <c r="C13" s="2"/>
      <c r="D13" s="2"/>
      <c r="E13" s="2"/>
      <c r="F13" s="2"/>
      <c r="G13" s="2"/>
      <c r="H13" s="2"/>
    </row>
    <row r="14">
      <c r="A14" s="2"/>
      <c r="B14" s="2"/>
      <c r="C14" s="2"/>
      <c r="D14" s="2"/>
      <c r="E14" s="2"/>
      <c r="F14" s="2"/>
      <c r="G14" s="2"/>
      <c r="H14" s="2"/>
    </row>
    <row r="15">
      <c r="A15" s="2"/>
      <c r="B15" s="2"/>
      <c r="C15" s="2"/>
      <c r="D15" s="2"/>
      <c r="E15" s="2"/>
      <c r="F15" s="2"/>
      <c r="G15" s="2"/>
      <c r="H15" s="2"/>
    </row>
    <row r="16">
      <c r="A16" s="2"/>
      <c r="B16" s="2"/>
      <c r="C16" s="2"/>
      <c r="D16" s="2"/>
      <c r="E16" s="2"/>
      <c r="F16" s="2"/>
      <c r="G16" s="2"/>
      <c r="H16" s="2"/>
    </row>
    <row r="17">
      <c r="A17" s="2"/>
      <c r="B17" s="2"/>
      <c r="C17" s="2"/>
      <c r="D17" s="2"/>
      <c r="E17" s="2"/>
      <c r="F17" s="2"/>
      <c r="G17" s="2"/>
      <c r="H17" s="2"/>
    </row>
    <row r="18">
      <c r="A18" s="2"/>
      <c r="B18" s="2"/>
      <c r="C18" s="2"/>
      <c r="D18" s="2"/>
      <c r="E18" s="2"/>
      <c r="F18" s="2"/>
      <c r="G18" s="2"/>
      <c r="H18" s="2"/>
    </row>
    <row r="19">
      <c r="A19" s="2"/>
      <c r="B19" s="2"/>
      <c r="C19" s="2"/>
      <c r="D19" s="2"/>
      <c r="E19" s="2"/>
      <c r="F19" s="2"/>
      <c r="G19" s="2"/>
      <c r="H19" s="2"/>
    </row>
    <row r="20">
      <c r="A20" s="2"/>
      <c r="B20" s="2"/>
      <c r="C20" s="2"/>
      <c r="D20" s="2"/>
      <c r="E20" s="2"/>
      <c r="F20" s="2"/>
      <c r="G20" s="2"/>
      <c r="H20" s="2"/>
    </row>
    <row r="21" ht="15.75" customHeight="1">
      <c r="A21" s="2"/>
      <c r="B21" s="2"/>
      <c r="C21" s="2"/>
      <c r="D21" s="2"/>
      <c r="E21" s="2"/>
      <c r="F21" s="2"/>
      <c r="G21" s="2"/>
      <c r="H21" s="2"/>
    </row>
    <row r="22" ht="15.75" customHeight="1">
      <c r="A22" s="2"/>
      <c r="B22" s="2"/>
      <c r="C22" s="2"/>
      <c r="D22" s="2"/>
      <c r="E22" s="2"/>
      <c r="F22" s="2"/>
      <c r="G22" s="2"/>
      <c r="H22" s="2"/>
    </row>
    <row r="23" ht="15.75" customHeight="1">
      <c r="A23" s="2"/>
      <c r="B23" s="2"/>
      <c r="C23" s="2"/>
      <c r="D23" s="2"/>
      <c r="E23" s="2"/>
      <c r="F23" s="2"/>
      <c r="G23" s="2"/>
      <c r="H23" s="2"/>
    </row>
    <row r="24" ht="15.75" customHeight="1">
      <c r="A24" s="2"/>
      <c r="B24" s="2"/>
      <c r="C24" s="2"/>
      <c r="D24" s="2"/>
      <c r="E24" s="2"/>
      <c r="F24" s="2"/>
      <c r="G24" s="2"/>
      <c r="H24" s="2"/>
    </row>
    <row r="25" ht="15.75" customHeight="1">
      <c r="A25" s="2"/>
      <c r="B25" s="2"/>
      <c r="C25" s="2"/>
      <c r="D25" s="2"/>
      <c r="E25" s="2"/>
      <c r="F25" s="2"/>
      <c r="G25" s="2"/>
      <c r="H25" s="2"/>
    </row>
    <row r="26" ht="15.75" customHeight="1">
      <c r="A26" s="2"/>
      <c r="B26" s="2"/>
      <c r="C26" s="2"/>
      <c r="D26" s="2"/>
      <c r="E26" s="2"/>
      <c r="F26" s="2"/>
      <c r="G26" s="2"/>
      <c r="H26" s="2"/>
    </row>
    <row r="27" ht="15.75" customHeight="1">
      <c r="A27" s="2"/>
      <c r="B27" s="2"/>
      <c r="C27" s="2"/>
      <c r="D27" s="2"/>
      <c r="E27" s="2"/>
      <c r="F27" s="2"/>
      <c r="G27" s="2"/>
      <c r="H27" s="2"/>
    </row>
    <row r="28" ht="15.75" customHeight="1">
      <c r="A28" s="2"/>
      <c r="B28" s="2"/>
      <c r="C28" s="2"/>
      <c r="D28" s="2"/>
      <c r="E28" s="2"/>
      <c r="F28" s="2"/>
      <c r="G28" s="2"/>
      <c r="H28" s="2"/>
    </row>
    <row r="29" ht="15.75" customHeight="1">
      <c r="A29" s="2"/>
      <c r="B29" s="2"/>
      <c r="C29" s="2"/>
      <c r="D29" s="2"/>
      <c r="E29" s="2"/>
      <c r="F29" s="2"/>
      <c r="G29" s="2"/>
      <c r="H29" s="2"/>
    </row>
    <row r="30" ht="15.75" customHeight="1">
      <c r="A30" s="2"/>
      <c r="B30" s="2"/>
      <c r="C30" s="2"/>
      <c r="D30" s="2"/>
      <c r="E30" s="2"/>
      <c r="F30" s="2"/>
      <c r="G30" s="2"/>
      <c r="H30" s="2"/>
    </row>
    <row r="31" ht="15.75" customHeight="1">
      <c r="A31" s="2"/>
      <c r="B31" s="2"/>
      <c r="C31" s="2"/>
      <c r="D31" s="2"/>
      <c r="E31" s="2"/>
      <c r="F31" s="2"/>
      <c r="G31" s="2"/>
      <c r="H31" s="2"/>
    </row>
    <row r="32" ht="15.75" customHeight="1">
      <c r="A32" s="2"/>
      <c r="B32" s="2"/>
      <c r="C32" s="2"/>
      <c r="D32" s="2"/>
      <c r="E32" s="2"/>
      <c r="F32" s="2"/>
      <c r="G32" s="2"/>
      <c r="H32" s="2"/>
    </row>
    <row r="33" ht="15.75" customHeight="1">
      <c r="A33" s="2"/>
      <c r="B33" s="2"/>
      <c r="C33" s="2"/>
      <c r="D33" s="2"/>
      <c r="E33" s="2"/>
      <c r="F33" s="2"/>
      <c r="G33" s="2"/>
      <c r="H33" s="2"/>
    </row>
    <row r="34" ht="15.75" customHeight="1">
      <c r="A34" s="2"/>
      <c r="B34" s="2"/>
      <c r="C34" s="2"/>
      <c r="D34" s="2"/>
      <c r="E34" s="2"/>
      <c r="F34" s="2"/>
      <c r="G34" s="2"/>
      <c r="H34" s="2"/>
    </row>
    <row r="35" ht="15.75" customHeight="1">
      <c r="A35" s="2"/>
      <c r="B35" s="2"/>
      <c r="C35" s="2"/>
      <c r="D35" s="2"/>
      <c r="E35" s="2"/>
      <c r="F35" s="2"/>
      <c r="G35" s="2"/>
      <c r="H35" s="2"/>
    </row>
    <row r="36" ht="15.75" customHeight="1">
      <c r="A36" s="2"/>
      <c r="B36" s="2"/>
      <c r="C36" s="2"/>
      <c r="D36" s="2"/>
      <c r="E36" s="2"/>
      <c r="F36" s="2"/>
      <c r="G36" s="2"/>
      <c r="H36" s="2"/>
    </row>
    <row r="37" ht="15.75" customHeight="1">
      <c r="A37" s="2"/>
      <c r="B37" s="2"/>
      <c r="C37" s="2"/>
      <c r="D37" s="2"/>
      <c r="E37" s="2"/>
      <c r="F37" s="2"/>
      <c r="G37" s="2"/>
      <c r="H37" s="2"/>
    </row>
    <row r="38" ht="15.75" customHeight="1">
      <c r="A38" s="2"/>
      <c r="B38" s="2"/>
      <c r="C38" s="2"/>
      <c r="D38" s="2"/>
      <c r="E38" s="2"/>
      <c r="F38" s="2"/>
      <c r="G38" s="2"/>
      <c r="H38" s="2"/>
    </row>
    <row r="39" ht="15.75" customHeight="1">
      <c r="A39" s="2"/>
      <c r="B39" s="2"/>
      <c r="C39" s="2"/>
      <c r="D39" s="2"/>
      <c r="E39" s="2"/>
      <c r="F39" s="2"/>
      <c r="G39" s="2"/>
      <c r="H39" s="2"/>
    </row>
    <row r="40" ht="15.75" customHeight="1">
      <c r="A40" s="2"/>
      <c r="B40" s="2"/>
      <c r="C40" s="2"/>
      <c r="D40" s="2"/>
      <c r="E40" s="2"/>
      <c r="F40" s="2"/>
      <c r="G40" s="2"/>
      <c r="H40" s="2"/>
    </row>
    <row r="41" ht="15.75" customHeight="1">
      <c r="A41" s="2"/>
      <c r="B41" s="2"/>
      <c r="C41" s="2"/>
      <c r="D41" s="2"/>
      <c r="E41" s="2"/>
      <c r="F41" s="2"/>
      <c r="G41" s="2"/>
      <c r="H41" s="2"/>
    </row>
    <row r="42" ht="15.75" customHeight="1">
      <c r="A42" s="2"/>
      <c r="B42" s="2"/>
      <c r="C42" s="2"/>
      <c r="D42" s="2"/>
      <c r="E42" s="2"/>
      <c r="F42" s="2"/>
      <c r="G42" s="2"/>
      <c r="H42" s="2"/>
    </row>
    <row r="43" ht="15.75" customHeight="1">
      <c r="A43" s="2"/>
      <c r="B43" s="2"/>
      <c r="C43" s="2"/>
      <c r="D43" s="2"/>
      <c r="E43" s="2"/>
      <c r="F43" s="2"/>
      <c r="G43" s="2"/>
      <c r="H43" s="2"/>
    </row>
    <row r="44" ht="15.75" customHeight="1">
      <c r="A44" s="2"/>
      <c r="B44" s="2"/>
      <c r="C44" s="2"/>
      <c r="D44" s="2"/>
      <c r="E44" s="2"/>
      <c r="F44" s="2"/>
      <c r="G44" s="2"/>
      <c r="H44" s="2"/>
    </row>
    <row r="45" ht="15.75" customHeight="1">
      <c r="A45" s="2"/>
      <c r="B45" s="2"/>
      <c r="C45" s="2"/>
      <c r="D45" s="2"/>
      <c r="E45" s="2"/>
      <c r="F45" s="2"/>
      <c r="G45" s="2"/>
      <c r="H45" s="2"/>
    </row>
    <row r="46" ht="15.75" customHeight="1">
      <c r="A46" s="2"/>
      <c r="B46" s="2"/>
      <c r="C46" s="2"/>
      <c r="D46" s="2"/>
      <c r="E46" s="2"/>
      <c r="F46" s="2"/>
      <c r="G46" s="2"/>
      <c r="H46" s="2"/>
    </row>
    <row r="47" ht="15.75" customHeight="1">
      <c r="A47" s="2"/>
      <c r="B47" s="2"/>
      <c r="C47" s="2"/>
      <c r="D47" s="2"/>
      <c r="E47" s="2"/>
      <c r="F47" s="2"/>
      <c r="G47" s="2"/>
      <c r="H47" s="2"/>
    </row>
    <row r="48" ht="15.75" customHeight="1">
      <c r="A48" s="2"/>
      <c r="B48" s="2"/>
      <c r="C48" s="2"/>
      <c r="D48" s="2"/>
      <c r="E48" s="2"/>
      <c r="F48" s="2"/>
      <c r="G48" s="2"/>
      <c r="H48" s="2"/>
    </row>
    <row r="49" ht="15.75" customHeight="1">
      <c r="A49" s="2"/>
      <c r="B49" s="2"/>
      <c r="C49" s="2"/>
      <c r="D49" s="2"/>
      <c r="E49" s="2"/>
      <c r="F49" s="2"/>
      <c r="G49" s="2"/>
      <c r="H49" s="2"/>
    </row>
    <row r="50" ht="15.75" customHeight="1">
      <c r="A50" s="2"/>
      <c r="B50" s="2"/>
      <c r="C50" s="2"/>
      <c r="D50" s="2"/>
      <c r="E50" s="2"/>
      <c r="F50" s="2"/>
      <c r="G50" s="2"/>
      <c r="H50" s="2"/>
    </row>
    <row r="51" ht="15.75" customHeight="1">
      <c r="A51" s="2"/>
      <c r="B51" s="2"/>
      <c r="C51" s="2"/>
      <c r="D51" s="2"/>
      <c r="E51" s="2"/>
      <c r="F51" s="2"/>
      <c r="G51" s="2"/>
      <c r="H51" s="2"/>
    </row>
    <row r="52" ht="15.75" customHeight="1">
      <c r="A52" s="2"/>
      <c r="B52" s="2"/>
      <c r="C52" s="2"/>
      <c r="D52" s="2"/>
      <c r="E52" s="2"/>
      <c r="F52" s="2"/>
      <c r="G52" s="2"/>
      <c r="H52" s="2"/>
    </row>
    <row r="53" ht="15.75" customHeight="1">
      <c r="A53" s="2"/>
      <c r="B53" s="2"/>
      <c r="C53" s="2"/>
      <c r="D53" s="2"/>
      <c r="E53" s="2"/>
      <c r="F53" s="2"/>
      <c r="G53" s="2"/>
      <c r="H53" s="2"/>
    </row>
    <row r="54" ht="15.75" customHeight="1">
      <c r="A54" s="2"/>
      <c r="B54" s="2"/>
      <c r="C54" s="2"/>
      <c r="D54" s="2"/>
      <c r="E54" s="2"/>
      <c r="F54" s="2"/>
      <c r="G54" s="2"/>
      <c r="H54" s="2"/>
    </row>
    <row r="55" ht="15.75" customHeight="1">
      <c r="A55" s="2"/>
      <c r="B55" s="2"/>
      <c r="C55" s="2"/>
      <c r="D55" s="2"/>
      <c r="E55" s="2"/>
      <c r="F55" s="2"/>
      <c r="G55" s="2"/>
      <c r="H55" s="2"/>
    </row>
    <row r="56" ht="15.75" customHeight="1">
      <c r="A56" s="2"/>
      <c r="B56" s="2"/>
      <c r="C56" s="2"/>
      <c r="D56" s="2"/>
      <c r="E56" s="2"/>
      <c r="F56" s="2"/>
      <c r="G56" s="2"/>
      <c r="H56" s="2"/>
    </row>
    <row r="57" ht="15.75" customHeight="1">
      <c r="A57" s="2"/>
      <c r="B57" s="2"/>
      <c r="C57" s="2"/>
      <c r="D57" s="2"/>
      <c r="E57" s="2"/>
      <c r="F57" s="2"/>
      <c r="G57" s="2"/>
      <c r="H57" s="2"/>
    </row>
    <row r="58" ht="15.75" customHeight="1">
      <c r="A58" s="2"/>
      <c r="B58" s="2"/>
      <c r="C58" s="2"/>
      <c r="D58" s="2"/>
      <c r="E58" s="2"/>
      <c r="F58" s="2"/>
      <c r="G58" s="2"/>
      <c r="H58" s="2"/>
    </row>
    <row r="59" ht="15.75" customHeight="1">
      <c r="A59" s="2"/>
      <c r="B59" s="2"/>
      <c r="C59" s="2"/>
      <c r="D59" s="2"/>
      <c r="E59" s="2"/>
      <c r="F59" s="2"/>
      <c r="G59" s="2"/>
      <c r="H59" s="2"/>
    </row>
    <row r="60" ht="15.75" customHeight="1">
      <c r="A60" s="2"/>
      <c r="B60" s="2"/>
      <c r="C60" s="2"/>
      <c r="D60" s="2"/>
      <c r="E60" s="2"/>
      <c r="F60" s="2"/>
      <c r="G60" s="2"/>
      <c r="H60" s="2"/>
    </row>
    <row r="61" ht="15.75" customHeight="1">
      <c r="A61" s="2"/>
      <c r="B61" s="2"/>
      <c r="C61" s="2"/>
      <c r="D61" s="2"/>
      <c r="E61" s="2"/>
      <c r="F61" s="2"/>
      <c r="G61" s="2"/>
      <c r="H61" s="2"/>
    </row>
    <row r="62" ht="15.75" customHeight="1">
      <c r="A62" s="2"/>
      <c r="B62" s="2"/>
      <c r="C62" s="2"/>
      <c r="D62" s="2"/>
      <c r="E62" s="2"/>
      <c r="F62" s="2"/>
      <c r="G62" s="2"/>
      <c r="H62" s="2"/>
    </row>
    <row r="63" ht="15.75" customHeight="1">
      <c r="A63" s="2"/>
      <c r="B63" s="2"/>
      <c r="C63" s="2"/>
      <c r="D63" s="2"/>
      <c r="E63" s="2"/>
      <c r="F63" s="2"/>
      <c r="G63" s="2"/>
      <c r="H63" s="2"/>
    </row>
    <row r="64" ht="15.75" customHeight="1">
      <c r="A64" s="2"/>
      <c r="B64" s="2"/>
      <c r="C64" s="2"/>
      <c r="D64" s="2"/>
      <c r="E64" s="2"/>
      <c r="F64" s="2"/>
      <c r="G64" s="2"/>
      <c r="H64" s="2"/>
    </row>
    <row r="65" ht="15.75" customHeight="1">
      <c r="A65" s="2"/>
      <c r="B65" s="2"/>
      <c r="C65" s="2"/>
      <c r="D65" s="2"/>
      <c r="E65" s="2"/>
      <c r="F65" s="2"/>
      <c r="G65" s="2"/>
      <c r="H65" s="2"/>
    </row>
    <row r="66" ht="15.75" customHeight="1">
      <c r="A66" s="2"/>
      <c r="B66" s="2"/>
      <c r="C66" s="2"/>
      <c r="D66" s="2"/>
      <c r="E66" s="2"/>
      <c r="F66" s="2"/>
      <c r="G66" s="2"/>
      <c r="H66" s="2"/>
    </row>
    <row r="67" ht="15.75" customHeight="1">
      <c r="A67" s="2"/>
      <c r="B67" s="2"/>
      <c r="C67" s="2"/>
      <c r="D67" s="2"/>
      <c r="E67" s="2"/>
      <c r="F67" s="2"/>
      <c r="G67" s="2"/>
      <c r="H67" s="2"/>
    </row>
    <row r="68" ht="15.75" customHeight="1">
      <c r="A68" s="2"/>
      <c r="B68" s="2"/>
      <c r="C68" s="2"/>
      <c r="D68" s="2"/>
      <c r="E68" s="2"/>
      <c r="F68" s="2"/>
      <c r="G68" s="2"/>
      <c r="H68" s="2"/>
    </row>
    <row r="69" ht="15.75" customHeight="1">
      <c r="A69" s="2"/>
      <c r="B69" s="2"/>
      <c r="C69" s="2"/>
      <c r="D69" s="2"/>
      <c r="E69" s="2"/>
      <c r="F69" s="2"/>
      <c r="G69" s="2"/>
      <c r="H69" s="2"/>
    </row>
    <row r="70" ht="15.75" customHeight="1">
      <c r="A70" s="2"/>
      <c r="B70" s="2"/>
      <c r="C70" s="2"/>
      <c r="D70" s="2"/>
      <c r="E70" s="2"/>
      <c r="F70" s="2"/>
      <c r="G70" s="2"/>
      <c r="H70" s="2"/>
    </row>
    <row r="71" ht="15.75" customHeight="1">
      <c r="A71" s="2"/>
      <c r="B71" s="2"/>
      <c r="C71" s="2"/>
      <c r="D71" s="2"/>
      <c r="E71" s="2"/>
      <c r="F71" s="2"/>
      <c r="G71" s="2"/>
      <c r="H71" s="2"/>
    </row>
    <row r="72" ht="15.75" customHeight="1">
      <c r="A72" s="2"/>
      <c r="B72" s="2"/>
      <c r="C72" s="2"/>
      <c r="D72" s="2"/>
      <c r="E72" s="2"/>
      <c r="F72" s="2"/>
      <c r="G72" s="2"/>
      <c r="H72" s="2"/>
    </row>
    <row r="73" ht="15.75" customHeight="1">
      <c r="A73" s="2"/>
      <c r="B73" s="2"/>
      <c r="C73" s="2"/>
      <c r="D73" s="2"/>
      <c r="E73" s="2"/>
      <c r="F73" s="2"/>
      <c r="G73" s="2"/>
      <c r="H73" s="2"/>
    </row>
    <row r="74" ht="15.75" customHeight="1">
      <c r="A74" s="2"/>
      <c r="B74" s="2"/>
      <c r="C74" s="2"/>
      <c r="D74" s="2"/>
      <c r="E74" s="2"/>
      <c r="F74" s="2"/>
      <c r="G74" s="2"/>
      <c r="H74" s="2"/>
    </row>
    <row r="75" ht="15.75" customHeight="1">
      <c r="A75" s="2"/>
      <c r="B75" s="2"/>
      <c r="C75" s="2"/>
      <c r="D75" s="2"/>
      <c r="E75" s="2"/>
      <c r="F75" s="2"/>
      <c r="G75" s="2"/>
      <c r="H75" s="2"/>
    </row>
    <row r="76" ht="15.75" customHeight="1">
      <c r="A76" s="2"/>
      <c r="B76" s="2"/>
      <c r="C76" s="2"/>
      <c r="D76" s="2"/>
      <c r="E76" s="2"/>
      <c r="F76" s="2"/>
      <c r="G76" s="2"/>
      <c r="H76" s="2"/>
    </row>
    <row r="77" ht="15.75" customHeight="1">
      <c r="A77" s="2"/>
      <c r="B77" s="2"/>
      <c r="C77" s="2"/>
      <c r="D77" s="2"/>
      <c r="E77" s="2"/>
      <c r="F77" s="2"/>
      <c r="G77" s="2"/>
      <c r="H77" s="2"/>
    </row>
    <row r="78" ht="15.75" customHeight="1">
      <c r="A78" s="2"/>
      <c r="B78" s="2"/>
      <c r="C78" s="2"/>
      <c r="D78" s="2"/>
      <c r="E78" s="2"/>
      <c r="F78" s="2"/>
      <c r="G78" s="2"/>
      <c r="H78" s="2"/>
    </row>
    <row r="79" ht="15.75" customHeight="1">
      <c r="A79" s="2"/>
      <c r="B79" s="2"/>
      <c r="C79" s="2"/>
      <c r="D79" s="2"/>
      <c r="E79" s="2"/>
      <c r="F79" s="2"/>
      <c r="G79" s="2"/>
      <c r="H79" s="2"/>
    </row>
    <row r="80" ht="15.75" customHeight="1">
      <c r="A80" s="2"/>
      <c r="B80" s="2"/>
      <c r="C80" s="2"/>
      <c r="D80" s="2"/>
      <c r="E80" s="2"/>
      <c r="F80" s="2"/>
      <c r="G80" s="2"/>
      <c r="H80" s="2"/>
    </row>
    <row r="81" ht="15.75" customHeight="1">
      <c r="A81" s="2"/>
      <c r="B81" s="2"/>
      <c r="C81" s="2"/>
      <c r="D81" s="2"/>
      <c r="E81" s="2"/>
      <c r="F81" s="2"/>
      <c r="G81" s="2"/>
      <c r="H81" s="2"/>
    </row>
    <row r="82" ht="15.75" customHeight="1">
      <c r="A82" s="2"/>
      <c r="B82" s="2"/>
      <c r="C82" s="2"/>
      <c r="D82" s="2"/>
      <c r="E82" s="2"/>
      <c r="F82" s="2"/>
      <c r="G82" s="2"/>
      <c r="H82" s="2"/>
    </row>
    <row r="83" ht="15.75" customHeight="1">
      <c r="A83" s="2"/>
      <c r="B83" s="2"/>
      <c r="C83" s="2"/>
      <c r="D83" s="2"/>
      <c r="E83" s="2"/>
      <c r="F83" s="2"/>
      <c r="G83" s="2"/>
      <c r="H83" s="2"/>
    </row>
    <row r="84" ht="15.75" customHeight="1">
      <c r="A84" s="2"/>
      <c r="B84" s="2"/>
      <c r="C84" s="2"/>
      <c r="D84" s="2"/>
      <c r="E84" s="2"/>
      <c r="F84" s="2"/>
      <c r="G84" s="2"/>
      <c r="H84" s="2"/>
    </row>
    <row r="85" ht="15.75" customHeight="1">
      <c r="A85" s="2"/>
      <c r="B85" s="2"/>
      <c r="C85" s="2"/>
      <c r="D85" s="2"/>
      <c r="E85" s="2"/>
      <c r="F85" s="2"/>
      <c r="G85" s="2"/>
      <c r="H85" s="2"/>
    </row>
    <row r="86" ht="15.75" customHeight="1">
      <c r="A86" s="2"/>
      <c r="B86" s="2"/>
      <c r="C86" s="2"/>
      <c r="D86" s="2"/>
      <c r="E86" s="2"/>
      <c r="F86" s="2"/>
      <c r="G86" s="2"/>
      <c r="H86" s="2"/>
    </row>
    <row r="87" ht="15.75" customHeight="1">
      <c r="A87" s="2"/>
      <c r="B87" s="2"/>
      <c r="C87" s="2"/>
      <c r="D87" s="2"/>
      <c r="E87" s="2"/>
      <c r="F87" s="2"/>
      <c r="G87" s="2"/>
      <c r="H87" s="2"/>
    </row>
    <row r="88" ht="15.75" customHeight="1">
      <c r="A88" s="2"/>
      <c r="B88" s="2"/>
      <c r="C88" s="2"/>
      <c r="D88" s="2"/>
      <c r="E88" s="2"/>
      <c r="F88" s="2"/>
      <c r="G88" s="2"/>
      <c r="H88" s="2"/>
    </row>
    <row r="89" ht="15.75" customHeight="1">
      <c r="A89" s="2"/>
      <c r="B89" s="2"/>
      <c r="C89" s="2"/>
      <c r="D89" s="2"/>
      <c r="E89" s="2"/>
      <c r="F89" s="2"/>
      <c r="G89" s="2"/>
      <c r="H89" s="2"/>
    </row>
    <row r="90" ht="15.75" customHeight="1">
      <c r="A90" s="2"/>
      <c r="B90" s="2"/>
      <c r="C90" s="2"/>
      <c r="D90" s="2"/>
      <c r="E90" s="2"/>
      <c r="F90" s="2"/>
      <c r="G90" s="2"/>
      <c r="H90" s="2"/>
    </row>
    <row r="91" ht="15.75" customHeight="1">
      <c r="A91" s="2"/>
      <c r="B91" s="2"/>
      <c r="C91" s="2"/>
      <c r="D91" s="2"/>
      <c r="E91" s="2"/>
      <c r="F91" s="2"/>
      <c r="G91" s="2"/>
      <c r="H91" s="2"/>
    </row>
    <row r="92" ht="15.75" customHeight="1">
      <c r="A92" s="2"/>
      <c r="B92" s="2"/>
      <c r="C92" s="2"/>
      <c r="D92" s="2"/>
      <c r="E92" s="2"/>
      <c r="F92" s="2"/>
      <c r="G92" s="2"/>
      <c r="H92" s="2"/>
    </row>
    <row r="93" ht="15.75" customHeight="1">
      <c r="A93" s="2"/>
      <c r="B93" s="2"/>
      <c r="C93" s="2"/>
      <c r="D93" s="2"/>
      <c r="E93" s="2"/>
      <c r="F93" s="2"/>
      <c r="G93" s="2"/>
      <c r="H93" s="2"/>
    </row>
    <row r="94" ht="15.75" customHeight="1">
      <c r="A94" s="2"/>
      <c r="B94" s="2"/>
      <c r="C94" s="2"/>
      <c r="D94" s="2"/>
      <c r="E94" s="2"/>
      <c r="F94" s="2"/>
      <c r="G94" s="2"/>
      <c r="H94" s="2"/>
    </row>
    <row r="95" ht="15.75" customHeight="1">
      <c r="A95" s="2"/>
      <c r="B95" s="2"/>
      <c r="C95" s="2"/>
      <c r="D95" s="2"/>
      <c r="E95" s="2"/>
      <c r="F95" s="2"/>
      <c r="G95" s="2"/>
      <c r="H95" s="2"/>
    </row>
    <row r="96" ht="15.75" customHeight="1">
      <c r="A96" s="2"/>
      <c r="B96" s="2"/>
      <c r="C96" s="2"/>
      <c r="D96" s="2"/>
      <c r="E96" s="2"/>
      <c r="F96" s="2"/>
      <c r="G96" s="2"/>
      <c r="H96" s="2"/>
    </row>
    <row r="97" ht="15.75" customHeight="1">
      <c r="A97" s="2"/>
      <c r="B97" s="2"/>
      <c r="C97" s="2"/>
      <c r="D97" s="2"/>
      <c r="E97" s="2"/>
      <c r="F97" s="2"/>
      <c r="G97" s="2"/>
      <c r="H97" s="2"/>
    </row>
    <row r="98" ht="15.75" customHeight="1">
      <c r="A98" s="2"/>
      <c r="B98" s="2"/>
      <c r="C98" s="2"/>
      <c r="D98" s="2"/>
      <c r="E98" s="2"/>
      <c r="F98" s="2"/>
      <c r="G98" s="2"/>
      <c r="H98" s="2"/>
    </row>
    <row r="99" ht="15.75" customHeight="1">
      <c r="A99" s="2"/>
      <c r="B99" s="2"/>
      <c r="C99" s="2"/>
      <c r="D99" s="2"/>
      <c r="E99" s="2"/>
      <c r="F99" s="2"/>
      <c r="G99" s="2"/>
      <c r="H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</row>
  </sheetData>
  <printOptions/>
  <pageMargins bottom="1.0" footer="0.0" header="0.0" left="0.75" right="0.75" top="1.0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4.0"/>
    <col customWidth="1" min="3" max="3" width="22.0"/>
    <col customWidth="1" min="4" max="4" width="30.0"/>
    <col customWidth="1" min="5" max="6" width="18.0"/>
    <col customWidth="1" min="7" max="7" width="20.0"/>
    <col customWidth="1" min="8" max="8" width="24.0"/>
  </cols>
  <sheetData>
    <row r="1">
      <c r="A1" s="18" t="s">
        <v>395</v>
      </c>
      <c r="B1" s="2"/>
      <c r="C1" s="2"/>
      <c r="D1" s="2"/>
      <c r="E1" s="2"/>
      <c r="F1" s="2"/>
      <c r="G1" s="2"/>
      <c r="H1" s="2"/>
    </row>
    <row r="2">
      <c r="A2" s="19" t="s">
        <v>396</v>
      </c>
      <c r="B2" s="2"/>
      <c r="C2" s="2"/>
      <c r="D2" s="2"/>
      <c r="E2" s="2"/>
      <c r="F2" s="2"/>
      <c r="G2" s="2"/>
      <c r="H2" s="2"/>
    </row>
    <row r="3">
      <c r="A3" s="2"/>
      <c r="B3" s="2"/>
      <c r="C3" s="2"/>
      <c r="D3" s="2"/>
      <c r="E3" s="2"/>
      <c r="F3" s="2"/>
      <c r="G3" s="2"/>
      <c r="H3" s="2"/>
    </row>
    <row r="4">
      <c r="A4" s="20" t="s">
        <v>81</v>
      </c>
      <c r="B4" s="20" t="s">
        <v>82</v>
      </c>
      <c r="C4" s="20" t="s">
        <v>83</v>
      </c>
      <c r="D4" s="20" t="s">
        <v>84</v>
      </c>
      <c r="E4" s="20" t="s">
        <v>85</v>
      </c>
      <c r="F4" s="20" t="s">
        <v>86</v>
      </c>
      <c r="G4" s="20" t="s">
        <v>87</v>
      </c>
      <c r="H4" s="20" t="s">
        <v>9</v>
      </c>
    </row>
    <row r="5">
      <c r="A5" s="5">
        <v>1.0</v>
      </c>
      <c r="B5" s="5" t="s">
        <v>49</v>
      </c>
      <c r="C5" s="5">
        <v>90.0</v>
      </c>
      <c r="D5" s="6" t="s">
        <v>91</v>
      </c>
      <c r="E5" s="5" t="str">
        <f>C5</f>
        <v>90</v>
      </c>
      <c r="F5" s="5" t="str">
        <f t="shared" ref="F5:F14" si="1">840-E5</f>
        <v>750</v>
      </c>
      <c r="G5" s="8" t="str">
        <f t="shared" ref="G5:G14" si="2">E5/840</f>
        <v>10.7%</v>
      </c>
      <c r="H5" s="5" t="str">
        <f t="shared" ref="H5:H14" si="3">IF(G5&gt;=1, "100.0% (Package Over)", TEXT(MIN(G5*100, 99.9), "0.0") &amp; "%")</f>
        <v>10.7%</v>
      </c>
    </row>
    <row r="6">
      <c r="A6" s="5">
        <v>2.0</v>
      </c>
      <c r="B6" s="5" t="s">
        <v>49</v>
      </c>
      <c r="C6" s="5">
        <v>90.0</v>
      </c>
      <c r="D6" s="6" t="s">
        <v>353</v>
      </c>
      <c r="E6" s="5" t="str">
        <f t="shared" ref="E6:E14" si="4">E5+C6</f>
        <v>180</v>
      </c>
      <c r="F6" s="5" t="str">
        <f t="shared" si="1"/>
        <v>660</v>
      </c>
      <c r="G6" s="8" t="str">
        <f t="shared" si="2"/>
        <v>21.4%</v>
      </c>
      <c r="H6" s="5" t="str">
        <f t="shared" si="3"/>
        <v>21.4%</v>
      </c>
    </row>
    <row r="7">
      <c r="A7" s="5">
        <v>3.0</v>
      </c>
      <c r="B7" s="5" t="s">
        <v>62</v>
      </c>
      <c r="C7" s="5">
        <v>90.0</v>
      </c>
      <c r="D7" s="6" t="s">
        <v>95</v>
      </c>
      <c r="E7" s="5" t="str">
        <f t="shared" si="4"/>
        <v>270</v>
      </c>
      <c r="F7" s="5" t="str">
        <f t="shared" si="1"/>
        <v>570</v>
      </c>
      <c r="G7" s="8" t="str">
        <f t="shared" si="2"/>
        <v>32.1%</v>
      </c>
      <c r="H7" s="5" t="str">
        <f t="shared" si="3"/>
        <v>32.1%</v>
      </c>
    </row>
    <row r="8">
      <c r="A8" s="5">
        <v>4.0</v>
      </c>
      <c r="B8" s="5" t="s">
        <v>397</v>
      </c>
      <c r="C8" s="5">
        <v>90.0</v>
      </c>
      <c r="D8" s="6" t="s">
        <v>91</v>
      </c>
      <c r="E8" s="5" t="str">
        <f t="shared" si="4"/>
        <v>360</v>
      </c>
      <c r="F8" s="5" t="str">
        <f t="shared" si="1"/>
        <v>480</v>
      </c>
      <c r="G8" s="8" t="str">
        <f t="shared" si="2"/>
        <v>42.9%</v>
      </c>
      <c r="H8" s="5" t="str">
        <f t="shared" si="3"/>
        <v>42.9%</v>
      </c>
    </row>
    <row r="9">
      <c r="A9" s="5">
        <v>5.0</v>
      </c>
      <c r="B9" s="5" t="s">
        <v>230</v>
      </c>
      <c r="C9" s="5">
        <v>60.0</v>
      </c>
      <c r="D9" s="6" t="s">
        <v>128</v>
      </c>
      <c r="E9" s="5" t="str">
        <f t="shared" si="4"/>
        <v>420</v>
      </c>
      <c r="F9" s="5" t="str">
        <f t="shared" si="1"/>
        <v>420</v>
      </c>
      <c r="G9" s="8" t="str">
        <f t="shared" si="2"/>
        <v>50.0%</v>
      </c>
      <c r="H9" s="5" t="str">
        <f t="shared" si="3"/>
        <v>50.0%</v>
      </c>
    </row>
    <row r="10">
      <c r="A10" s="5">
        <v>6.0</v>
      </c>
      <c r="B10" s="5" t="s">
        <v>398</v>
      </c>
      <c r="C10" s="5">
        <v>90.0</v>
      </c>
      <c r="D10" s="6" t="s">
        <v>95</v>
      </c>
      <c r="E10" s="5" t="str">
        <f t="shared" si="4"/>
        <v>510</v>
      </c>
      <c r="F10" s="5" t="str">
        <f t="shared" si="1"/>
        <v>330</v>
      </c>
      <c r="G10" s="8" t="str">
        <f t="shared" si="2"/>
        <v>60.7%</v>
      </c>
      <c r="H10" s="5" t="str">
        <f t="shared" si="3"/>
        <v>60.7%</v>
      </c>
    </row>
    <row r="11">
      <c r="A11" s="5">
        <v>7.0</v>
      </c>
      <c r="B11" s="5" t="s">
        <v>398</v>
      </c>
      <c r="C11" s="5">
        <v>90.0</v>
      </c>
      <c r="D11" s="6" t="s">
        <v>106</v>
      </c>
      <c r="E11" s="5" t="str">
        <f t="shared" si="4"/>
        <v>600</v>
      </c>
      <c r="F11" s="5" t="str">
        <f t="shared" si="1"/>
        <v>240</v>
      </c>
      <c r="G11" s="8" t="str">
        <f t="shared" si="2"/>
        <v>71.4%</v>
      </c>
      <c r="H11" s="5" t="str">
        <f t="shared" si="3"/>
        <v>71.4%</v>
      </c>
    </row>
    <row r="12">
      <c r="A12" s="5">
        <v>8.0</v>
      </c>
      <c r="B12" s="5" t="s">
        <v>399</v>
      </c>
      <c r="C12" s="5">
        <v>90.0</v>
      </c>
      <c r="D12" s="6" t="s">
        <v>384</v>
      </c>
      <c r="E12" s="5" t="str">
        <f t="shared" si="4"/>
        <v>690</v>
      </c>
      <c r="F12" s="5" t="str">
        <f t="shared" si="1"/>
        <v>150</v>
      </c>
      <c r="G12" s="8" t="str">
        <f t="shared" si="2"/>
        <v>82.1%</v>
      </c>
      <c r="H12" s="5" t="str">
        <f t="shared" si="3"/>
        <v>82.1%</v>
      </c>
    </row>
    <row r="13">
      <c r="A13" s="5">
        <v>9.0</v>
      </c>
      <c r="B13" s="5" t="s">
        <v>400</v>
      </c>
      <c r="C13" s="5">
        <v>60.0</v>
      </c>
      <c r="D13" s="6" t="s">
        <v>384</v>
      </c>
      <c r="E13" s="5" t="str">
        <f t="shared" si="4"/>
        <v>750</v>
      </c>
      <c r="F13" s="5" t="str">
        <f t="shared" si="1"/>
        <v>90</v>
      </c>
      <c r="G13" s="8" t="str">
        <f t="shared" si="2"/>
        <v>89.3%</v>
      </c>
      <c r="H13" s="5" t="str">
        <f t="shared" si="3"/>
        <v>89.3%</v>
      </c>
    </row>
    <row r="14">
      <c r="A14" s="5">
        <v>10.0</v>
      </c>
      <c r="B14" s="5" t="s">
        <v>400</v>
      </c>
      <c r="C14" s="5">
        <v>60.0</v>
      </c>
      <c r="D14" s="6" t="s">
        <v>401</v>
      </c>
      <c r="E14" s="5" t="str">
        <f t="shared" si="4"/>
        <v>810</v>
      </c>
      <c r="F14" s="5" t="str">
        <f t="shared" si="1"/>
        <v>30</v>
      </c>
      <c r="G14" s="8" t="str">
        <f t="shared" si="2"/>
        <v>96.4%</v>
      </c>
      <c r="H14" s="5" t="str">
        <f t="shared" si="3"/>
        <v>96.4%</v>
      </c>
    </row>
    <row r="15">
      <c r="A15" s="2"/>
      <c r="B15" s="2"/>
      <c r="C15" s="2"/>
      <c r="D15" s="2"/>
      <c r="E15" s="2"/>
      <c r="F15" s="2"/>
      <c r="G15" s="2"/>
      <c r="H15" s="2"/>
    </row>
    <row r="16">
      <c r="A16" s="2"/>
      <c r="B16" s="2"/>
      <c r="C16" s="2"/>
      <c r="D16" s="2"/>
      <c r="E16" s="2"/>
      <c r="F16" s="2"/>
      <c r="G16" s="2"/>
      <c r="H16" s="2"/>
    </row>
    <row r="17">
      <c r="A17" s="2"/>
      <c r="B17" s="2"/>
      <c r="C17" s="2"/>
      <c r="D17" s="2"/>
      <c r="E17" s="2"/>
      <c r="F17" s="2"/>
      <c r="G17" s="2"/>
      <c r="H17" s="2"/>
    </row>
    <row r="18">
      <c r="A18" s="2"/>
      <c r="B18" s="2"/>
      <c r="C18" s="2"/>
      <c r="D18" s="2"/>
      <c r="E18" s="2"/>
      <c r="F18" s="2"/>
      <c r="G18" s="2"/>
      <c r="H18" s="2"/>
    </row>
    <row r="19">
      <c r="A19" s="2"/>
      <c r="B19" s="2"/>
      <c r="C19" s="2"/>
      <c r="D19" s="2"/>
      <c r="E19" s="2"/>
      <c r="F19" s="2"/>
      <c r="G19" s="2"/>
      <c r="H19" s="2"/>
    </row>
    <row r="20">
      <c r="A20" s="2"/>
      <c r="B20" s="2"/>
      <c r="C20" s="2"/>
      <c r="D20" s="2"/>
      <c r="E20" s="2"/>
      <c r="F20" s="2"/>
      <c r="G20" s="2"/>
      <c r="H20" s="2"/>
    </row>
    <row r="21" ht="15.75" customHeight="1">
      <c r="A21" s="2"/>
      <c r="B21" s="2"/>
      <c r="C21" s="2"/>
      <c r="D21" s="2"/>
      <c r="E21" s="2"/>
      <c r="F21" s="2"/>
      <c r="G21" s="2"/>
      <c r="H21" s="2"/>
    </row>
    <row r="22" ht="15.75" customHeight="1">
      <c r="A22" s="2"/>
      <c r="B22" s="2"/>
      <c r="C22" s="2"/>
      <c r="D22" s="2"/>
      <c r="E22" s="2"/>
      <c r="F22" s="2"/>
      <c r="G22" s="2"/>
      <c r="H22" s="2"/>
    </row>
    <row r="23" ht="15.75" customHeight="1">
      <c r="A23" s="2"/>
      <c r="B23" s="2"/>
      <c r="C23" s="2"/>
      <c r="D23" s="2"/>
      <c r="E23" s="2"/>
      <c r="F23" s="2"/>
      <c r="G23" s="2"/>
      <c r="H23" s="2"/>
    </row>
    <row r="24" ht="15.75" customHeight="1">
      <c r="A24" s="2"/>
      <c r="B24" s="2"/>
      <c r="C24" s="2"/>
      <c r="D24" s="2"/>
      <c r="E24" s="2"/>
      <c r="F24" s="2"/>
      <c r="G24" s="2"/>
      <c r="H24" s="2"/>
    </row>
    <row r="25" ht="15.75" customHeight="1">
      <c r="A25" s="2"/>
      <c r="B25" s="2"/>
      <c r="C25" s="2"/>
      <c r="D25" s="2"/>
      <c r="E25" s="2"/>
      <c r="F25" s="2"/>
      <c r="G25" s="2"/>
      <c r="H25" s="2"/>
    </row>
    <row r="26" ht="15.75" customHeight="1">
      <c r="A26" s="2"/>
      <c r="B26" s="2"/>
      <c r="C26" s="2"/>
      <c r="D26" s="2"/>
      <c r="E26" s="2"/>
      <c r="F26" s="2"/>
      <c r="G26" s="2"/>
      <c r="H26" s="2"/>
    </row>
    <row r="27" ht="15.75" customHeight="1">
      <c r="A27" s="2"/>
      <c r="B27" s="2"/>
      <c r="C27" s="2"/>
      <c r="D27" s="2"/>
      <c r="E27" s="2"/>
      <c r="F27" s="2"/>
      <c r="G27" s="2"/>
      <c r="H27" s="2"/>
    </row>
    <row r="28" ht="15.75" customHeight="1">
      <c r="A28" s="2"/>
      <c r="B28" s="2"/>
      <c r="C28" s="2"/>
      <c r="D28" s="2"/>
      <c r="E28" s="2"/>
      <c r="F28" s="2"/>
      <c r="G28" s="2"/>
      <c r="H28" s="2"/>
    </row>
    <row r="29" ht="15.75" customHeight="1">
      <c r="A29" s="2"/>
      <c r="B29" s="2"/>
      <c r="C29" s="2"/>
      <c r="D29" s="2"/>
      <c r="E29" s="2"/>
      <c r="F29" s="2"/>
      <c r="G29" s="2"/>
      <c r="H29" s="2"/>
    </row>
    <row r="30" ht="15.75" customHeight="1">
      <c r="A30" s="2"/>
      <c r="B30" s="2"/>
      <c r="C30" s="2"/>
      <c r="D30" s="2"/>
      <c r="E30" s="2"/>
      <c r="F30" s="2"/>
      <c r="G30" s="2"/>
      <c r="H30" s="2"/>
    </row>
    <row r="31" ht="15.75" customHeight="1">
      <c r="A31" s="2"/>
      <c r="B31" s="2"/>
      <c r="C31" s="2"/>
      <c r="D31" s="2"/>
      <c r="E31" s="2"/>
      <c r="F31" s="2"/>
      <c r="G31" s="2"/>
      <c r="H31" s="2"/>
    </row>
    <row r="32" ht="15.75" customHeight="1">
      <c r="A32" s="2"/>
      <c r="B32" s="2"/>
      <c r="C32" s="2"/>
      <c r="D32" s="2"/>
      <c r="E32" s="2"/>
      <c r="F32" s="2"/>
      <c r="G32" s="2"/>
      <c r="H32" s="2"/>
    </row>
    <row r="33" ht="15.75" customHeight="1">
      <c r="A33" s="2"/>
      <c r="B33" s="2"/>
      <c r="C33" s="2"/>
      <c r="D33" s="2"/>
      <c r="E33" s="2"/>
      <c r="F33" s="2"/>
      <c r="G33" s="2"/>
      <c r="H33" s="2"/>
    </row>
    <row r="34" ht="15.75" customHeight="1">
      <c r="A34" s="2"/>
      <c r="B34" s="2"/>
      <c r="C34" s="2"/>
      <c r="D34" s="2"/>
      <c r="E34" s="2"/>
      <c r="F34" s="2"/>
      <c r="G34" s="2"/>
      <c r="H34" s="2"/>
    </row>
    <row r="35" ht="15.75" customHeight="1">
      <c r="A35" s="2"/>
      <c r="B35" s="2"/>
      <c r="C35" s="2"/>
      <c r="D35" s="2"/>
      <c r="E35" s="2"/>
      <c r="F35" s="2"/>
      <c r="G35" s="2"/>
      <c r="H35" s="2"/>
    </row>
    <row r="36" ht="15.75" customHeight="1">
      <c r="A36" s="2"/>
      <c r="B36" s="2"/>
      <c r="C36" s="2"/>
      <c r="D36" s="2"/>
      <c r="E36" s="2"/>
      <c r="F36" s="2"/>
      <c r="G36" s="2"/>
      <c r="H36" s="2"/>
    </row>
    <row r="37" ht="15.75" customHeight="1">
      <c r="A37" s="2"/>
      <c r="B37" s="2"/>
      <c r="C37" s="2"/>
      <c r="D37" s="2"/>
      <c r="E37" s="2"/>
      <c r="F37" s="2"/>
      <c r="G37" s="2"/>
      <c r="H37" s="2"/>
    </row>
    <row r="38" ht="15.75" customHeight="1">
      <c r="A38" s="2"/>
      <c r="B38" s="2"/>
      <c r="C38" s="2"/>
      <c r="D38" s="2"/>
      <c r="E38" s="2"/>
      <c r="F38" s="2"/>
      <c r="G38" s="2"/>
      <c r="H38" s="2"/>
    </row>
    <row r="39" ht="15.75" customHeight="1">
      <c r="A39" s="2"/>
      <c r="B39" s="2"/>
      <c r="C39" s="2"/>
      <c r="D39" s="2"/>
      <c r="E39" s="2"/>
      <c r="F39" s="2"/>
      <c r="G39" s="2"/>
      <c r="H39" s="2"/>
    </row>
    <row r="40" ht="15.75" customHeight="1">
      <c r="A40" s="2"/>
      <c r="B40" s="2"/>
      <c r="C40" s="2"/>
      <c r="D40" s="2"/>
      <c r="E40" s="2"/>
      <c r="F40" s="2"/>
      <c r="G40" s="2"/>
      <c r="H40" s="2"/>
    </row>
    <row r="41" ht="15.75" customHeight="1">
      <c r="A41" s="2"/>
      <c r="B41" s="2"/>
      <c r="C41" s="2"/>
      <c r="D41" s="2"/>
      <c r="E41" s="2"/>
      <c r="F41" s="2"/>
      <c r="G41" s="2"/>
      <c r="H41" s="2"/>
    </row>
    <row r="42" ht="15.75" customHeight="1">
      <c r="A42" s="2"/>
      <c r="B42" s="2"/>
      <c r="C42" s="2"/>
      <c r="D42" s="2"/>
      <c r="E42" s="2"/>
      <c r="F42" s="2"/>
      <c r="G42" s="2"/>
      <c r="H42" s="2"/>
    </row>
    <row r="43" ht="15.75" customHeight="1">
      <c r="A43" s="2"/>
      <c r="B43" s="2"/>
      <c r="C43" s="2"/>
      <c r="D43" s="2"/>
      <c r="E43" s="2"/>
      <c r="F43" s="2"/>
      <c r="G43" s="2"/>
      <c r="H43" s="2"/>
    </row>
    <row r="44" ht="15.75" customHeight="1">
      <c r="A44" s="2"/>
      <c r="B44" s="2"/>
      <c r="C44" s="2"/>
      <c r="D44" s="2"/>
      <c r="E44" s="2"/>
      <c r="F44" s="2"/>
      <c r="G44" s="2"/>
      <c r="H44" s="2"/>
    </row>
    <row r="45" ht="15.75" customHeight="1">
      <c r="A45" s="2"/>
      <c r="B45" s="2"/>
      <c r="C45" s="2"/>
      <c r="D45" s="2"/>
      <c r="E45" s="2"/>
      <c r="F45" s="2"/>
      <c r="G45" s="2"/>
      <c r="H45" s="2"/>
    </row>
    <row r="46" ht="15.75" customHeight="1">
      <c r="A46" s="2"/>
      <c r="B46" s="2"/>
      <c r="C46" s="2"/>
      <c r="D46" s="2"/>
      <c r="E46" s="2"/>
      <c r="F46" s="2"/>
      <c r="G46" s="2"/>
      <c r="H46" s="2"/>
    </row>
    <row r="47" ht="15.75" customHeight="1">
      <c r="A47" s="2"/>
      <c r="B47" s="2"/>
      <c r="C47" s="2"/>
      <c r="D47" s="2"/>
      <c r="E47" s="2"/>
      <c r="F47" s="2"/>
      <c r="G47" s="2"/>
      <c r="H47" s="2"/>
    </row>
    <row r="48" ht="15.75" customHeight="1">
      <c r="A48" s="2"/>
      <c r="B48" s="2"/>
      <c r="C48" s="2"/>
      <c r="D48" s="2"/>
      <c r="E48" s="2"/>
      <c r="F48" s="2"/>
      <c r="G48" s="2"/>
      <c r="H48" s="2"/>
    </row>
    <row r="49" ht="15.75" customHeight="1">
      <c r="A49" s="2"/>
      <c r="B49" s="2"/>
      <c r="C49" s="2"/>
      <c r="D49" s="2"/>
      <c r="E49" s="2"/>
      <c r="F49" s="2"/>
      <c r="G49" s="2"/>
      <c r="H49" s="2"/>
    </row>
    <row r="50" ht="15.75" customHeight="1">
      <c r="A50" s="2"/>
      <c r="B50" s="2"/>
      <c r="C50" s="2"/>
      <c r="D50" s="2"/>
      <c r="E50" s="2"/>
      <c r="F50" s="2"/>
      <c r="G50" s="2"/>
      <c r="H50" s="2"/>
    </row>
    <row r="51" ht="15.75" customHeight="1">
      <c r="A51" s="2"/>
      <c r="B51" s="2"/>
      <c r="C51" s="2"/>
      <c r="D51" s="2"/>
      <c r="E51" s="2"/>
      <c r="F51" s="2"/>
      <c r="G51" s="2"/>
      <c r="H51" s="2"/>
    </row>
    <row r="52" ht="15.75" customHeight="1">
      <c r="A52" s="2"/>
      <c r="B52" s="2"/>
      <c r="C52" s="2"/>
      <c r="D52" s="2"/>
      <c r="E52" s="2"/>
      <c r="F52" s="2"/>
      <c r="G52" s="2"/>
      <c r="H52" s="2"/>
    </row>
    <row r="53" ht="15.75" customHeight="1">
      <c r="A53" s="2"/>
      <c r="B53" s="2"/>
      <c r="C53" s="2"/>
      <c r="D53" s="2"/>
      <c r="E53" s="2"/>
      <c r="F53" s="2"/>
      <c r="G53" s="2"/>
      <c r="H53" s="2"/>
    </row>
    <row r="54" ht="15.75" customHeight="1">
      <c r="A54" s="2"/>
      <c r="B54" s="2"/>
      <c r="C54" s="2"/>
      <c r="D54" s="2"/>
      <c r="E54" s="2"/>
      <c r="F54" s="2"/>
      <c r="G54" s="2"/>
      <c r="H54" s="2"/>
    </row>
    <row r="55" ht="15.75" customHeight="1">
      <c r="A55" s="2"/>
      <c r="B55" s="2"/>
      <c r="C55" s="2"/>
      <c r="D55" s="2"/>
      <c r="E55" s="2"/>
      <c r="F55" s="2"/>
      <c r="G55" s="2"/>
      <c r="H55" s="2"/>
    </row>
    <row r="56" ht="15.75" customHeight="1">
      <c r="A56" s="2"/>
      <c r="B56" s="2"/>
      <c r="C56" s="2"/>
      <c r="D56" s="2"/>
      <c r="E56" s="2"/>
      <c r="F56" s="2"/>
      <c r="G56" s="2"/>
      <c r="H56" s="2"/>
    </row>
    <row r="57" ht="15.75" customHeight="1">
      <c r="A57" s="2"/>
      <c r="B57" s="2"/>
      <c r="C57" s="2"/>
      <c r="D57" s="2"/>
      <c r="E57" s="2"/>
      <c r="F57" s="2"/>
      <c r="G57" s="2"/>
      <c r="H57" s="2"/>
    </row>
    <row r="58" ht="15.75" customHeight="1">
      <c r="A58" s="2"/>
      <c r="B58" s="2"/>
      <c r="C58" s="2"/>
      <c r="D58" s="2"/>
      <c r="E58" s="2"/>
      <c r="F58" s="2"/>
      <c r="G58" s="2"/>
      <c r="H58" s="2"/>
    </row>
    <row r="59" ht="15.75" customHeight="1">
      <c r="A59" s="2"/>
      <c r="B59" s="2"/>
      <c r="C59" s="2"/>
      <c r="D59" s="2"/>
      <c r="E59" s="2"/>
      <c r="F59" s="2"/>
      <c r="G59" s="2"/>
      <c r="H59" s="2"/>
    </row>
    <row r="60" ht="15.75" customHeight="1">
      <c r="A60" s="2"/>
      <c r="B60" s="2"/>
      <c r="C60" s="2"/>
      <c r="D60" s="2"/>
      <c r="E60" s="2"/>
      <c r="F60" s="2"/>
      <c r="G60" s="2"/>
      <c r="H60" s="2"/>
    </row>
    <row r="61" ht="15.75" customHeight="1">
      <c r="A61" s="2"/>
      <c r="B61" s="2"/>
      <c r="C61" s="2"/>
      <c r="D61" s="2"/>
      <c r="E61" s="2"/>
      <c r="F61" s="2"/>
      <c r="G61" s="2"/>
      <c r="H61" s="2"/>
    </row>
    <row r="62" ht="15.75" customHeight="1">
      <c r="A62" s="2"/>
      <c r="B62" s="2"/>
      <c r="C62" s="2"/>
      <c r="D62" s="2"/>
      <c r="E62" s="2"/>
      <c r="F62" s="2"/>
      <c r="G62" s="2"/>
      <c r="H62" s="2"/>
    </row>
    <row r="63" ht="15.75" customHeight="1">
      <c r="A63" s="2"/>
      <c r="B63" s="2"/>
      <c r="C63" s="2"/>
      <c r="D63" s="2"/>
      <c r="E63" s="2"/>
      <c r="F63" s="2"/>
      <c r="G63" s="2"/>
      <c r="H63" s="2"/>
    </row>
    <row r="64" ht="15.75" customHeight="1">
      <c r="A64" s="2"/>
      <c r="B64" s="2"/>
      <c r="C64" s="2"/>
      <c r="D64" s="2"/>
      <c r="E64" s="2"/>
      <c r="F64" s="2"/>
      <c r="G64" s="2"/>
      <c r="H64" s="2"/>
    </row>
    <row r="65" ht="15.75" customHeight="1">
      <c r="A65" s="2"/>
      <c r="B65" s="2"/>
      <c r="C65" s="2"/>
      <c r="D65" s="2"/>
      <c r="E65" s="2"/>
      <c r="F65" s="2"/>
      <c r="G65" s="2"/>
      <c r="H65" s="2"/>
    </row>
    <row r="66" ht="15.75" customHeight="1">
      <c r="A66" s="2"/>
      <c r="B66" s="2"/>
      <c r="C66" s="2"/>
      <c r="D66" s="2"/>
      <c r="E66" s="2"/>
      <c r="F66" s="2"/>
      <c r="G66" s="2"/>
      <c r="H66" s="2"/>
    </row>
    <row r="67" ht="15.75" customHeight="1">
      <c r="A67" s="2"/>
      <c r="B67" s="2"/>
      <c r="C67" s="2"/>
      <c r="D67" s="2"/>
      <c r="E67" s="2"/>
      <c r="F67" s="2"/>
      <c r="G67" s="2"/>
      <c r="H67" s="2"/>
    </row>
    <row r="68" ht="15.75" customHeight="1">
      <c r="A68" s="2"/>
      <c r="B68" s="2"/>
      <c r="C68" s="2"/>
      <c r="D68" s="2"/>
      <c r="E68" s="2"/>
      <c r="F68" s="2"/>
      <c r="G68" s="2"/>
      <c r="H68" s="2"/>
    </row>
    <row r="69" ht="15.75" customHeight="1">
      <c r="A69" s="2"/>
      <c r="B69" s="2"/>
      <c r="C69" s="2"/>
      <c r="D69" s="2"/>
      <c r="E69" s="2"/>
      <c r="F69" s="2"/>
      <c r="G69" s="2"/>
      <c r="H69" s="2"/>
    </row>
    <row r="70" ht="15.75" customHeight="1">
      <c r="A70" s="2"/>
      <c r="B70" s="2"/>
      <c r="C70" s="2"/>
      <c r="D70" s="2"/>
      <c r="E70" s="2"/>
      <c r="F70" s="2"/>
      <c r="G70" s="2"/>
      <c r="H70" s="2"/>
    </row>
    <row r="71" ht="15.75" customHeight="1">
      <c r="A71" s="2"/>
      <c r="B71" s="2"/>
      <c r="C71" s="2"/>
      <c r="D71" s="2"/>
      <c r="E71" s="2"/>
      <c r="F71" s="2"/>
      <c r="G71" s="2"/>
      <c r="H71" s="2"/>
    </row>
    <row r="72" ht="15.75" customHeight="1">
      <c r="A72" s="2"/>
      <c r="B72" s="2"/>
      <c r="C72" s="2"/>
      <c r="D72" s="2"/>
      <c r="E72" s="2"/>
      <c r="F72" s="2"/>
      <c r="G72" s="2"/>
      <c r="H72" s="2"/>
    </row>
    <row r="73" ht="15.75" customHeight="1">
      <c r="A73" s="2"/>
      <c r="B73" s="2"/>
      <c r="C73" s="2"/>
      <c r="D73" s="2"/>
      <c r="E73" s="2"/>
      <c r="F73" s="2"/>
      <c r="G73" s="2"/>
      <c r="H73" s="2"/>
    </row>
    <row r="74" ht="15.75" customHeight="1">
      <c r="A74" s="2"/>
      <c r="B74" s="2"/>
      <c r="C74" s="2"/>
      <c r="D74" s="2"/>
      <c r="E74" s="2"/>
      <c r="F74" s="2"/>
      <c r="G74" s="2"/>
      <c r="H74" s="2"/>
    </row>
    <row r="75" ht="15.75" customHeight="1">
      <c r="A75" s="2"/>
      <c r="B75" s="2"/>
      <c r="C75" s="2"/>
      <c r="D75" s="2"/>
      <c r="E75" s="2"/>
      <c r="F75" s="2"/>
      <c r="G75" s="2"/>
      <c r="H75" s="2"/>
    </row>
    <row r="76" ht="15.75" customHeight="1">
      <c r="A76" s="2"/>
      <c r="B76" s="2"/>
      <c r="C76" s="2"/>
      <c r="D76" s="2"/>
      <c r="E76" s="2"/>
      <c r="F76" s="2"/>
      <c r="G76" s="2"/>
      <c r="H76" s="2"/>
    </row>
    <row r="77" ht="15.75" customHeight="1">
      <c r="A77" s="2"/>
      <c r="B77" s="2"/>
      <c r="C77" s="2"/>
      <c r="D77" s="2"/>
      <c r="E77" s="2"/>
      <c r="F77" s="2"/>
      <c r="G77" s="2"/>
      <c r="H77" s="2"/>
    </row>
    <row r="78" ht="15.75" customHeight="1">
      <c r="A78" s="2"/>
      <c r="B78" s="2"/>
      <c r="C78" s="2"/>
      <c r="D78" s="2"/>
      <c r="E78" s="2"/>
      <c r="F78" s="2"/>
      <c r="G78" s="2"/>
      <c r="H78" s="2"/>
    </row>
    <row r="79" ht="15.75" customHeight="1">
      <c r="A79" s="2"/>
      <c r="B79" s="2"/>
      <c r="C79" s="2"/>
      <c r="D79" s="2"/>
      <c r="E79" s="2"/>
      <c r="F79" s="2"/>
      <c r="G79" s="2"/>
      <c r="H79" s="2"/>
    </row>
    <row r="80" ht="15.75" customHeight="1">
      <c r="A80" s="2"/>
      <c r="B80" s="2"/>
      <c r="C80" s="2"/>
      <c r="D80" s="2"/>
      <c r="E80" s="2"/>
      <c r="F80" s="2"/>
      <c r="G80" s="2"/>
      <c r="H80" s="2"/>
    </row>
    <row r="81" ht="15.75" customHeight="1">
      <c r="A81" s="2"/>
      <c r="B81" s="2"/>
      <c r="C81" s="2"/>
      <c r="D81" s="2"/>
      <c r="E81" s="2"/>
      <c r="F81" s="2"/>
      <c r="G81" s="2"/>
      <c r="H81" s="2"/>
    </row>
    <row r="82" ht="15.75" customHeight="1">
      <c r="A82" s="2"/>
      <c r="B82" s="2"/>
      <c r="C82" s="2"/>
      <c r="D82" s="2"/>
      <c r="E82" s="2"/>
      <c r="F82" s="2"/>
      <c r="G82" s="2"/>
      <c r="H82" s="2"/>
    </row>
    <row r="83" ht="15.75" customHeight="1">
      <c r="A83" s="2"/>
      <c r="B83" s="2"/>
      <c r="C83" s="2"/>
      <c r="D83" s="2"/>
      <c r="E83" s="2"/>
      <c r="F83" s="2"/>
      <c r="G83" s="2"/>
      <c r="H83" s="2"/>
    </row>
    <row r="84" ht="15.75" customHeight="1">
      <c r="A84" s="2"/>
      <c r="B84" s="2"/>
      <c r="C84" s="2"/>
      <c r="D84" s="2"/>
      <c r="E84" s="2"/>
      <c r="F84" s="2"/>
      <c r="G84" s="2"/>
      <c r="H84" s="2"/>
    </row>
    <row r="85" ht="15.75" customHeight="1">
      <c r="A85" s="2"/>
      <c r="B85" s="2"/>
      <c r="C85" s="2"/>
      <c r="D85" s="2"/>
      <c r="E85" s="2"/>
      <c r="F85" s="2"/>
      <c r="G85" s="2"/>
      <c r="H85" s="2"/>
    </row>
    <row r="86" ht="15.75" customHeight="1">
      <c r="A86" s="2"/>
      <c r="B86" s="2"/>
      <c r="C86" s="2"/>
      <c r="D86" s="2"/>
      <c r="E86" s="2"/>
      <c r="F86" s="2"/>
      <c r="G86" s="2"/>
      <c r="H86" s="2"/>
    </row>
    <row r="87" ht="15.75" customHeight="1">
      <c r="A87" s="2"/>
      <c r="B87" s="2"/>
      <c r="C87" s="2"/>
      <c r="D87" s="2"/>
      <c r="E87" s="2"/>
      <c r="F87" s="2"/>
      <c r="G87" s="2"/>
      <c r="H87" s="2"/>
    </row>
    <row r="88" ht="15.75" customHeight="1">
      <c r="A88" s="2"/>
      <c r="B88" s="2"/>
      <c r="C88" s="2"/>
      <c r="D88" s="2"/>
      <c r="E88" s="2"/>
      <c r="F88" s="2"/>
      <c r="G88" s="2"/>
      <c r="H88" s="2"/>
    </row>
    <row r="89" ht="15.75" customHeight="1">
      <c r="A89" s="2"/>
      <c r="B89" s="2"/>
      <c r="C89" s="2"/>
      <c r="D89" s="2"/>
      <c r="E89" s="2"/>
      <c r="F89" s="2"/>
      <c r="G89" s="2"/>
      <c r="H89" s="2"/>
    </row>
    <row r="90" ht="15.75" customHeight="1">
      <c r="A90" s="2"/>
      <c r="B90" s="2"/>
      <c r="C90" s="2"/>
      <c r="D90" s="2"/>
      <c r="E90" s="2"/>
      <c r="F90" s="2"/>
      <c r="G90" s="2"/>
      <c r="H90" s="2"/>
    </row>
    <row r="91" ht="15.75" customHeight="1">
      <c r="A91" s="2"/>
      <c r="B91" s="2"/>
      <c r="C91" s="2"/>
      <c r="D91" s="2"/>
      <c r="E91" s="2"/>
      <c r="F91" s="2"/>
      <c r="G91" s="2"/>
      <c r="H91" s="2"/>
    </row>
    <row r="92" ht="15.75" customHeight="1">
      <c r="A92" s="2"/>
      <c r="B92" s="2"/>
      <c r="C92" s="2"/>
      <c r="D92" s="2"/>
      <c r="E92" s="2"/>
      <c r="F92" s="2"/>
      <c r="G92" s="2"/>
      <c r="H92" s="2"/>
    </row>
    <row r="93" ht="15.75" customHeight="1">
      <c r="A93" s="2"/>
      <c r="B93" s="2"/>
      <c r="C93" s="2"/>
      <c r="D93" s="2"/>
      <c r="E93" s="2"/>
      <c r="F93" s="2"/>
      <c r="G93" s="2"/>
      <c r="H93" s="2"/>
    </row>
    <row r="94" ht="15.75" customHeight="1">
      <c r="A94" s="2"/>
      <c r="B94" s="2"/>
      <c r="C94" s="2"/>
      <c r="D94" s="2"/>
      <c r="E94" s="2"/>
      <c r="F94" s="2"/>
      <c r="G94" s="2"/>
      <c r="H94" s="2"/>
    </row>
    <row r="95" ht="15.75" customHeight="1">
      <c r="A95" s="2"/>
      <c r="B95" s="2"/>
      <c r="C95" s="2"/>
      <c r="D95" s="2"/>
      <c r="E95" s="2"/>
      <c r="F95" s="2"/>
      <c r="G95" s="2"/>
      <c r="H95" s="2"/>
    </row>
    <row r="96" ht="15.75" customHeight="1">
      <c r="A96" s="2"/>
      <c r="B96" s="2"/>
      <c r="C96" s="2"/>
      <c r="D96" s="2"/>
      <c r="E96" s="2"/>
      <c r="F96" s="2"/>
      <c r="G96" s="2"/>
      <c r="H96" s="2"/>
    </row>
    <row r="97" ht="15.75" customHeight="1">
      <c r="A97" s="2"/>
      <c r="B97" s="2"/>
      <c r="C97" s="2"/>
      <c r="D97" s="2"/>
      <c r="E97" s="2"/>
      <c r="F97" s="2"/>
      <c r="G97" s="2"/>
      <c r="H97" s="2"/>
    </row>
    <row r="98" ht="15.75" customHeight="1">
      <c r="A98" s="2"/>
      <c r="B98" s="2"/>
      <c r="C98" s="2"/>
      <c r="D98" s="2"/>
      <c r="E98" s="2"/>
      <c r="F98" s="2"/>
      <c r="G98" s="2"/>
      <c r="H98" s="2"/>
    </row>
    <row r="99" ht="15.75" customHeight="1">
      <c r="A99" s="2"/>
      <c r="B99" s="2"/>
      <c r="C99" s="2"/>
      <c r="D99" s="2"/>
      <c r="E99" s="2"/>
      <c r="F99" s="2"/>
      <c r="G99" s="2"/>
      <c r="H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</row>
  </sheetData>
  <printOptions/>
  <pageMargins bottom="1.0" footer="0.0" header="0.0" left="0.75" right="0.75" top="1.0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4.0"/>
    <col customWidth="1" min="3" max="3" width="22.0"/>
    <col customWidth="1" min="4" max="4" width="30.0"/>
    <col customWidth="1" min="5" max="5" width="18.0"/>
    <col customWidth="1" min="6" max="6" width="13.0"/>
    <col customWidth="1" min="7" max="7" width="20.0"/>
    <col customWidth="1" min="8" max="8" width="24.0"/>
  </cols>
  <sheetData>
    <row r="1">
      <c r="A1" s="18" t="s">
        <v>402</v>
      </c>
      <c r="B1" s="2"/>
      <c r="C1" s="2"/>
      <c r="D1" s="2"/>
      <c r="E1" s="2"/>
      <c r="F1" s="2"/>
      <c r="G1" s="2"/>
      <c r="H1" s="2"/>
    </row>
    <row r="2">
      <c r="A2" s="19" t="s">
        <v>403</v>
      </c>
      <c r="B2" s="2"/>
      <c r="C2" s="2"/>
      <c r="D2" s="2"/>
      <c r="E2" s="2"/>
      <c r="F2" s="2"/>
      <c r="G2" s="2"/>
      <c r="H2" s="2"/>
    </row>
    <row r="3">
      <c r="A3" s="2"/>
      <c r="B3" s="2"/>
      <c r="C3" s="2"/>
      <c r="D3" s="2"/>
      <c r="E3" s="2"/>
      <c r="F3" s="2"/>
      <c r="G3" s="2"/>
      <c r="H3" s="2"/>
    </row>
    <row r="4">
      <c r="A4" s="20" t="s">
        <v>81</v>
      </c>
      <c r="B4" s="20" t="s">
        <v>82</v>
      </c>
      <c r="C4" s="20" t="s">
        <v>83</v>
      </c>
      <c r="D4" s="20" t="s">
        <v>84</v>
      </c>
      <c r="E4" s="20" t="s">
        <v>85</v>
      </c>
      <c r="F4" s="20" t="s">
        <v>86</v>
      </c>
      <c r="G4" s="20" t="s">
        <v>87</v>
      </c>
      <c r="H4" s="20" t="s">
        <v>9</v>
      </c>
    </row>
    <row r="5">
      <c r="A5" s="5">
        <v>1.0</v>
      </c>
      <c r="B5" s="5" t="s">
        <v>51</v>
      </c>
      <c r="C5" s="5">
        <v>950.0</v>
      </c>
      <c r="D5" s="6" t="s">
        <v>404</v>
      </c>
      <c r="E5" s="5" t="str">
        <f>C5</f>
        <v>950</v>
      </c>
      <c r="F5" s="5" t="str">
        <f t="shared" ref="F5:F10" si="1">26900-E5</f>
        <v>25950</v>
      </c>
      <c r="G5" s="8" t="str">
        <f t="shared" ref="G5:G10" si="2">E5/26900</f>
        <v>3.5%</v>
      </c>
      <c r="H5" s="5" t="str">
        <f t="shared" ref="H5:H10" si="3">IF(G5&gt;=1, "100.0% (Package Over)", TEXT(MIN(G5*100, 99.9), "0.0") &amp; "%")</f>
        <v>3.5%</v>
      </c>
    </row>
    <row r="6">
      <c r="A6" s="5">
        <v>2.0</v>
      </c>
      <c r="B6" s="5" t="s">
        <v>64</v>
      </c>
      <c r="C6" s="5">
        <v>5350.0</v>
      </c>
      <c r="D6" s="6" t="s">
        <v>405</v>
      </c>
      <c r="E6" s="5" t="str">
        <f t="shared" ref="E6:E10" si="4">E5+C6</f>
        <v>6300</v>
      </c>
      <c r="F6" s="5" t="str">
        <f t="shared" si="1"/>
        <v>20600</v>
      </c>
      <c r="G6" s="8" t="str">
        <f t="shared" si="2"/>
        <v>23.4%</v>
      </c>
      <c r="H6" s="5" t="str">
        <f t="shared" si="3"/>
        <v>23.4%</v>
      </c>
    </row>
    <row r="7">
      <c r="A7" s="5">
        <v>3.0</v>
      </c>
      <c r="B7" s="5" t="s">
        <v>64</v>
      </c>
      <c r="C7" s="5">
        <v>2400.0</v>
      </c>
      <c r="D7" s="6" t="s">
        <v>406</v>
      </c>
      <c r="E7" s="5" t="str">
        <f t="shared" si="4"/>
        <v>8700</v>
      </c>
      <c r="F7" s="5" t="str">
        <f t="shared" si="1"/>
        <v>18200</v>
      </c>
      <c r="G7" s="8" t="str">
        <f t="shared" si="2"/>
        <v>32.3%</v>
      </c>
      <c r="H7" s="5" t="str">
        <f t="shared" si="3"/>
        <v>32.3%</v>
      </c>
    </row>
    <row r="8">
      <c r="A8" s="5">
        <v>4.0</v>
      </c>
      <c r="B8" s="5" t="s">
        <v>365</v>
      </c>
      <c r="C8" s="5">
        <v>5200.0</v>
      </c>
      <c r="D8" s="6" t="s">
        <v>407</v>
      </c>
      <c r="E8" s="5" t="str">
        <f t="shared" si="4"/>
        <v>13900</v>
      </c>
      <c r="F8" s="5" t="str">
        <f t="shared" si="1"/>
        <v>13000</v>
      </c>
      <c r="G8" s="8" t="str">
        <f t="shared" si="2"/>
        <v>51.7%</v>
      </c>
      <c r="H8" s="5" t="str">
        <f t="shared" si="3"/>
        <v>51.7%</v>
      </c>
    </row>
    <row r="9">
      <c r="A9" s="5">
        <v>5.0</v>
      </c>
      <c r="B9" s="5" t="s">
        <v>365</v>
      </c>
      <c r="C9" s="5">
        <v>5200.0</v>
      </c>
      <c r="D9" s="6" t="s">
        <v>408</v>
      </c>
      <c r="E9" s="5" t="str">
        <f t="shared" si="4"/>
        <v>19100</v>
      </c>
      <c r="F9" s="5" t="str">
        <f t="shared" si="1"/>
        <v>7800</v>
      </c>
      <c r="G9" s="8" t="str">
        <f t="shared" si="2"/>
        <v>71.0%</v>
      </c>
      <c r="H9" s="5" t="str">
        <f t="shared" si="3"/>
        <v>71.0%</v>
      </c>
    </row>
    <row r="10">
      <c r="A10" s="5">
        <v>6.0</v>
      </c>
      <c r="B10" s="5" t="s">
        <v>145</v>
      </c>
      <c r="C10" s="5">
        <v>5800.0</v>
      </c>
      <c r="D10" s="6" t="s">
        <v>409</v>
      </c>
      <c r="E10" s="5" t="str">
        <f t="shared" si="4"/>
        <v>24900</v>
      </c>
      <c r="F10" s="5" t="str">
        <f t="shared" si="1"/>
        <v>2000</v>
      </c>
      <c r="G10" s="8" t="str">
        <f t="shared" si="2"/>
        <v>92.6%</v>
      </c>
      <c r="H10" s="5" t="str">
        <f t="shared" si="3"/>
        <v>92.6%</v>
      </c>
    </row>
    <row r="11">
      <c r="A11" s="2"/>
      <c r="B11" s="2"/>
      <c r="C11" s="2"/>
      <c r="D11" s="2"/>
      <c r="E11" s="2"/>
      <c r="F11" s="2"/>
      <c r="G11" s="2"/>
      <c r="H11" s="2"/>
    </row>
    <row r="12">
      <c r="A12" s="2"/>
      <c r="B12" s="2"/>
      <c r="C12" s="2"/>
      <c r="D12" s="2"/>
      <c r="E12" s="2"/>
      <c r="F12" s="2"/>
      <c r="G12" s="2"/>
      <c r="H12" s="2"/>
    </row>
    <row r="13">
      <c r="A13" s="2"/>
      <c r="B13" s="2"/>
      <c r="C13" s="2"/>
      <c r="D13" s="2"/>
      <c r="E13" s="2"/>
      <c r="F13" s="2"/>
      <c r="G13" s="2"/>
      <c r="H13" s="2"/>
    </row>
    <row r="14">
      <c r="A14" s="2"/>
      <c r="B14" s="2"/>
      <c r="C14" s="2"/>
      <c r="D14" s="2"/>
      <c r="E14" s="2"/>
      <c r="F14" s="2"/>
      <c r="G14" s="2"/>
      <c r="H14" s="2"/>
    </row>
    <row r="15">
      <c r="A15" s="2"/>
      <c r="B15" s="2"/>
      <c r="C15" s="2"/>
      <c r="D15" s="2"/>
      <c r="E15" s="2"/>
      <c r="F15" s="2"/>
      <c r="G15" s="2"/>
      <c r="H15" s="2"/>
    </row>
    <row r="16">
      <c r="A16" s="2"/>
      <c r="B16" s="2"/>
      <c r="C16" s="2"/>
      <c r="D16" s="2"/>
      <c r="E16" s="2"/>
      <c r="F16" s="2"/>
      <c r="G16" s="2"/>
      <c r="H16" s="2"/>
    </row>
    <row r="17">
      <c r="A17" s="2"/>
      <c r="B17" s="2"/>
      <c r="C17" s="2"/>
      <c r="D17" s="2"/>
      <c r="E17" s="2"/>
      <c r="F17" s="2"/>
      <c r="G17" s="2"/>
      <c r="H17" s="2"/>
    </row>
    <row r="18">
      <c r="A18" s="2"/>
      <c r="B18" s="2"/>
      <c r="C18" s="2"/>
      <c r="D18" s="2"/>
      <c r="E18" s="2"/>
      <c r="F18" s="2"/>
      <c r="G18" s="2"/>
      <c r="H18" s="2"/>
    </row>
    <row r="19">
      <c r="A19" s="2"/>
      <c r="B19" s="2"/>
      <c r="C19" s="2"/>
      <c r="D19" s="2"/>
      <c r="E19" s="2"/>
      <c r="F19" s="2"/>
      <c r="G19" s="2"/>
      <c r="H19" s="2"/>
    </row>
    <row r="20">
      <c r="A20" s="2"/>
      <c r="B20" s="2"/>
      <c r="C20" s="2"/>
      <c r="D20" s="2"/>
      <c r="E20" s="2"/>
      <c r="F20" s="2"/>
      <c r="G20" s="2"/>
      <c r="H20" s="2"/>
    </row>
    <row r="21" ht="15.75" customHeight="1">
      <c r="A21" s="2"/>
      <c r="B21" s="2"/>
      <c r="C21" s="2"/>
      <c r="D21" s="2"/>
      <c r="E21" s="2"/>
      <c r="F21" s="2"/>
      <c r="G21" s="2"/>
      <c r="H21" s="2"/>
    </row>
    <row r="22" ht="15.75" customHeight="1">
      <c r="A22" s="2"/>
      <c r="B22" s="2"/>
      <c r="C22" s="2"/>
      <c r="D22" s="2"/>
      <c r="E22" s="2"/>
      <c r="F22" s="2"/>
      <c r="G22" s="2"/>
      <c r="H22" s="2"/>
    </row>
    <row r="23" ht="15.75" customHeight="1">
      <c r="A23" s="2"/>
      <c r="B23" s="2"/>
      <c r="C23" s="2"/>
      <c r="D23" s="2"/>
      <c r="E23" s="2"/>
      <c r="F23" s="2"/>
      <c r="G23" s="2"/>
      <c r="H23" s="2"/>
    </row>
    <row r="24" ht="15.75" customHeight="1">
      <c r="A24" s="2"/>
      <c r="B24" s="2"/>
      <c r="C24" s="2"/>
      <c r="D24" s="2"/>
      <c r="E24" s="2"/>
      <c r="F24" s="2"/>
      <c r="G24" s="2"/>
      <c r="H24" s="2"/>
    </row>
    <row r="25" ht="15.75" customHeight="1">
      <c r="A25" s="2"/>
      <c r="B25" s="2"/>
      <c r="C25" s="2"/>
      <c r="D25" s="2"/>
      <c r="E25" s="2"/>
      <c r="F25" s="2"/>
      <c r="G25" s="2"/>
      <c r="H25" s="2"/>
    </row>
    <row r="26" ht="15.75" customHeight="1">
      <c r="A26" s="2"/>
      <c r="B26" s="2"/>
      <c r="C26" s="2"/>
      <c r="D26" s="2"/>
      <c r="E26" s="2"/>
      <c r="F26" s="2"/>
      <c r="G26" s="2"/>
      <c r="H26" s="2"/>
    </row>
    <row r="27" ht="15.75" customHeight="1">
      <c r="A27" s="2"/>
      <c r="B27" s="2"/>
      <c r="C27" s="2"/>
      <c r="D27" s="2"/>
      <c r="E27" s="2"/>
      <c r="F27" s="2"/>
      <c r="G27" s="2"/>
      <c r="H27" s="2"/>
    </row>
    <row r="28" ht="15.75" customHeight="1">
      <c r="A28" s="2"/>
      <c r="B28" s="2"/>
      <c r="C28" s="2"/>
      <c r="D28" s="2"/>
      <c r="E28" s="2"/>
      <c r="F28" s="2"/>
      <c r="G28" s="2"/>
      <c r="H28" s="2"/>
    </row>
    <row r="29" ht="15.75" customHeight="1">
      <c r="A29" s="2"/>
      <c r="B29" s="2"/>
      <c r="C29" s="2"/>
      <c r="D29" s="2"/>
      <c r="E29" s="2"/>
      <c r="F29" s="2"/>
      <c r="G29" s="2"/>
      <c r="H29" s="2"/>
    </row>
    <row r="30" ht="15.75" customHeight="1">
      <c r="A30" s="2"/>
      <c r="B30" s="2"/>
      <c r="C30" s="2"/>
      <c r="D30" s="2"/>
      <c r="E30" s="2"/>
      <c r="F30" s="2"/>
      <c r="G30" s="2"/>
      <c r="H30" s="2"/>
    </row>
    <row r="31" ht="15.75" customHeight="1">
      <c r="A31" s="2"/>
      <c r="B31" s="2"/>
      <c r="C31" s="2"/>
      <c r="D31" s="2"/>
      <c r="E31" s="2"/>
      <c r="F31" s="2"/>
      <c r="G31" s="2"/>
      <c r="H31" s="2"/>
    </row>
    <row r="32" ht="15.75" customHeight="1">
      <c r="A32" s="2"/>
      <c r="B32" s="2"/>
      <c r="C32" s="2"/>
      <c r="D32" s="2"/>
      <c r="E32" s="2"/>
      <c r="F32" s="2"/>
      <c r="G32" s="2"/>
      <c r="H32" s="2"/>
    </row>
    <row r="33" ht="15.75" customHeight="1">
      <c r="A33" s="2"/>
      <c r="B33" s="2"/>
      <c r="C33" s="2"/>
      <c r="D33" s="2"/>
      <c r="E33" s="2"/>
      <c r="F33" s="2"/>
      <c r="G33" s="2"/>
      <c r="H33" s="2"/>
    </row>
    <row r="34" ht="15.75" customHeight="1">
      <c r="A34" s="2"/>
      <c r="B34" s="2"/>
      <c r="C34" s="2"/>
      <c r="D34" s="2"/>
      <c r="E34" s="2"/>
      <c r="F34" s="2"/>
      <c r="G34" s="2"/>
      <c r="H34" s="2"/>
    </row>
    <row r="35" ht="15.75" customHeight="1">
      <c r="A35" s="2"/>
      <c r="B35" s="2"/>
      <c r="C35" s="2"/>
      <c r="D35" s="2"/>
      <c r="E35" s="2"/>
      <c r="F35" s="2"/>
      <c r="G35" s="2"/>
      <c r="H35" s="2"/>
    </row>
    <row r="36" ht="15.75" customHeight="1">
      <c r="A36" s="2"/>
      <c r="B36" s="2"/>
      <c r="C36" s="2"/>
      <c r="D36" s="2"/>
      <c r="E36" s="2"/>
      <c r="F36" s="2"/>
      <c r="G36" s="2"/>
      <c r="H36" s="2"/>
    </row>
    <row r="37" ht="15.75" customHeight="1">
      <c r="A37" s="2"/>
      <c r="B37" s="2"/>
      <c r="C37" s="2"/>
      <c r="D37" s="2"/>
      <c r="E37" s="2"/>
      <c r="F37" s="2"/>
      <c r="G37" s="2"/>
      <c r="H37" s="2"/>
    </row>
    <row r="38" ht="15.75" customHeight="1">
      <c r="A38" s="2"/>
      <c r="B38" s="2"/>
      <c r="C38" s="2"/>
      <c r="D38" s="2"/>
      <c r="E38" s="2"/>
      <c r="F38" s="2"/>
      <c r="G38" s="2"/>
      <c r="H38" s="2"/>
    </row>
    <row r="39" ht="15.75" customHeight="1">
      <c r="A39" s="2"/>
      <c r="B39" s="2"/>
      <c r="C39" s="2"/>
      <c r="D39" s="2"/>
      <c r="E39" s="2"/>
      <c r="F39" s="2"/>
      <c r="G39" s="2"/>
      <c r="H39" s="2"/>
    </row>
    <row r="40" ht="15.75" customHeight="1">
      <c r="A40" s="2"/>
      <c r="B40" s="2"/>
      <c r="C40" s="2"/>
      <c r="D40" s="2"/>
      <c r="E40" s="2"/>
      <c r="F40" s="2"/>
      <c r="G40" s="2"/>
      <c r="H40" s="2"/>
    </row>
    <row r="41" ht="15.75" customHeight="1">
      <c r="A41" s="2"/>
      <c r="B41" s="2"/>
      <c r="C41" s="2"/>
      <c r="D41" s="2"/>
      <c r="E41" s="2"/>
      <c r="F41" s="2"/>
      <c r="G41" s="2"/>
      <c r="H41" s="2"/>
    </row>
    <row r="42" ht="15.75" customHeight="1">
      <c r="A42" s="2"/>
      <c r="B42" s="2"/>
      <c r="C42" s="2"/>
      <c r="D42" s="2"/>
      <c r="E42" s="2"/>
      <c r="F42" s="2"/>
      <c r="G42" s="2"/>
      <c r="H42" s="2"/>
    </row>
    <row r="43" ht="15.75" customHeight="1">
      <c r="A43" s="2"/>
      <c r="B43" s="2"/>
      <c r="C43" s="2"/>
      <c r="D43" s="2"/>
      <c r="E43" s="2"/>
      <c r="F43" s="2"/>
      <c r="G43" s="2"/>
      <c r="H43" s="2"/>
    </row>
    <row r="44" ht="15.75" customHeight="1">
      <c r="A44" s="2"/>
      <c r="B44" s="2"/>
      <c r="C44" s="2"/>
      <c r="D44" s="2"/>
      <c r="E44" s="2"/>
      <c r="F44" s="2"/>
      <c r="G44" s="2"/>
      <c r="H44" s="2"/>
    </row>
    <row r="45" ht="15.75" customHeight="1">
      <c r="A45" s="2"/>
      <c r="B45" s="2"/>
      <c r="C45" s="2"/>
      <c r="D45" s="2"/>
      <c r="E45" s="2"/>
      <c r="F45" s="2"/>
      <c r="G45" s="2"/>
      <c r="H45" s="2"/>
    </row>
    <row r="46" ht="15.75" customHeight="1">
      <c r="A46" s="2"/>
      <c r="B46" s="2"/>
      <c r="C46" s="2"/>
      <c r="D46" s="2"/>
      <c r="E46" s="2"/>
      <c r="F46" s="2"/>
      <c r="G46" s="2"/>
      <c r="H46" s="2"/>
    </row>
    <row r="47" ht="15.75" customHeight="1">
      <c r="A47" s="2"/>
      <c r="B47" s="2"/>
      <c r="C47" s="2"/>
      <c r="D47" s="2"/>
      <c r="E47" s="2"/>
      <c r="F47" s="2"/>
      <c r="G47" s="2"/>
      <c r="H47" s="2"/>
    </row>
    <row r="48" ht="15.75" customHeight="1">
      <c r="A48" s="2"/>
      <c r="B48" s="2"/>
      <c r="C48" s="2"/>
      <c r="D48" s="2"/>
      <c r="E48" s="2"/>
      <c r="F48" s="2"/>
      <c r="G48" s="2"/>
      <c r="H48" s="2"/>
    </row>
    <row r="49" ht="15.75" customHeight="1">
      <c r="A49" s="2"/>
      <c r="B49" s="2"/>
      <c r="C49" s="2"/>
      <c r="D49" s="2"/>
      <c r="E49" s="2"/>
      <c r="F49" s="2"/>
      <c r="G49" s="2"/>
      <c r="H49" s="2"/>
    </row>
    <row r="50" ht="15.75" customHeight="1">
      <c r="A50" s="2"/>
      <c r="B50" s="2"/>
      <c r="C50" s="2"/>
      <c r="D50" s="2"/>
      <c r="E50" s="2"/>
      <c r="F50" s="2"/>
      <c r="G50" s="2"/>
      <c r="H50" s="2"/>
    </row>
    <row r="51" ht="15.75" customHeight="1">
      <c r="A51" s="2"/>
      <c r="B51" s="2"/>
      <c r="C51" s="2"/>
      <c r="D51" s="2"/>
      <c r="E51" s="2"/>
      <c r="F51" s="2"/>
      <c r="G51" s="2"/>
      <c r="H51" s="2"/>
    </row>
    <row r="52" ht="15.75" customHeight="1">
      <c r="A52" s="2"/>
      <c r="B52" s="2"/>
      <c r="C52" s="2"/>
      <c r="D52" s="2"/>
      <c r="E52" s="2"/>
      <c r="F52" s="2"/>
      <c r="G52" s="2"/>
      <c r="H52" s="2"/>
    </row>
    <row r="53" ht="15.75" customHeight="1">
      <c r="A53" s="2"/>
      <c r="B53" s="2"/>
      <c r="C53" s="2"/>
      <c r="D53" s="2"/>
      <c r="E53" s="2"/>
      <c r="F53" s="2"/>
      <c r="G53" s="2"/>
      <c r="H53" s="2"/>
    </row>
    <row r="54" ht="15.75" customHeight="1">
      <c r="A54" s="2"/>
      <c r="B54" s="2"/>
      <c r="C54" s="2"/>
      <c r="D54" s="2"/>
      <c r="E54" s="2"/>
      <c r="F54" s="2"/>
      <c r="G54" s="2"/>
      <c r="H54" s="2"/>
    </row>
    <row r="55" ht="15.75" customHeight="1">
      <c r="A55" s="2"/>
      <c r="B55" s="2"/>
      <c r="C55" s="2"/>
      <c r="D55" s="2"/>
      <c r="E55" s="2"/>
      <c r="F55" s="2"/>
      <c r="G55" s="2"/>
      <c r="H55" s="2"/>
    </row>
    <row r="56" ht="15.75" customHeight="1">
      <c r="A56" s="2"/>
      <c r="B56" s="2"/>
      <c r="C56" s="2"/>
      <c r="D56" s="2"/>
      <c r="E56" s="2"/>
      <c r="F56" s="2"/>
      <c r="G56" s="2"/>
      <c r="H56" s="2"/>
    </row>
    <row r="57" ht="15.75" customHeight="1">
      <c r="A57" s="2"/>
      <c r="B57" s="2"/>
      <c r="C57" s="2"/>
      <c r="D57" s="2"/>
      <c r="E57" s="2"/>
      <c r="F57" s="2"/>
      <c r="G57" s="2"/>
      <c r="H57" s="2"/>
    </row>
    <row r="58" ht="15.75" customHeight="1">
      <c r="A58" s="2"/>
      <c r="B58" s="2"/>
      <c r="C58" s="2"/>
      <c r="D58" s="2"/>
      <c r="E58" s="2"/>
      <c r="F58" s="2"/>
      <c r="G58" s="2"/>
      <c r="H58" s="2"/>
    </row>
    <row r="59" ht="15.75" customHeight="1">
      <c r="A59" s="2"/>
      <c r="B59" s="2"/>
      <c r="C59" s="2"/>
      <c r="D59" s="2"/>
      <c r="E59" s="2"/>
      <c r="F59" s="2"/>
      <c r="G59" s="2"/>
      <c r="H59" s="2"/>
    </row>
    <row r="60" ht="15.75" customHeight="1">
      <c r="A60" s="2"/>
      <c r="B60" s="2"/>
      <c r="C60" s="2"/>
      <c r="D60" s="2"/>
      <c r="E60" s="2"/>
      <c r="F60" s="2"/>
      <c r="G60" s="2"/>
      <c r="H60" s="2"/>
    </row>
    <row r="61" ht="15.75" customHeight="1">
      <c r="A61" s="2"/>
      <c r="B61" s="2"/>
      <c r="C61" s="2"/>
      <c r="D61" s="2"/>
      <c r="E61" s="2"/>
      <c r="F61" s="2"/>
      <c r="G61" s="2"/>
      <c r="H61" s="2"/>
    </row>
    <row r="62" ht="15.75" customHeight="1">
      <c r="A62" s="2"/>
      <c r="B62" s="2"/>
      <c r="C62" s="2"/>
      <c r="D62" s="2"/>
      <c r="E62" s="2"/>
      <c r="F62" s="2"/>
      <c r="G62" s="2"/>
      <c r="H62" s="2"/>
    </row>
    <row r="63" ht="15.75" customHeight="1">
      <c r="A63" s="2"/>
      <c r="B63" s="2"/>
      <c r="C63" s="2"/>
      <c r="D63" s="2"/>
      <c r="E63" s="2"/>
      <c r="F63" s="2"/>
      <c r="G63" s="2"/>
      <c r="H63" s="2"/>
    </row>
    <row r="64" ht="15.75" customHeight="1">
      <c r="A64" s="2"/>
      <c r="B64" s="2"/>
      <c r="C64" s="2"/>
      <c r="D64" s="2"/>
      <c r="E64" s="2"/>
      <c r="F64" s="2"/>
      <c r="G64" s="2"/>
      <c r="H64" s="2"/>
    </row>
    <row r="65" ht="15.75" customHeight="1">
      <c r="A65" s="2"/>
      <c r="B65" s="2"/>
      <c r="C65" s="2"/>
      <c r="D65" s="2"/>
      <c r="E65" s="2"/>
      <c r="F65" s="2"/>
      <c r="G65" s="2"/>
      <c r="H65" s="2"/>
    </row>
    <row r="66" ht="15.75" customHeight="1">
      <c r="A66" s="2"/>
      <c r="B66" s="2"/>
      <c r="C66" s="2"/>
      <c r="D66" s="2"/>
      <c r="E66" s="2"/>
      <c r="F66" s="2"/>
      <c r="G66" s="2"/>
      <c r="H66" s="2"/>
    </row>
    <row r="67" ht="15.75" customHeight="1">
      <c r="A67" s="2"/>
      <c r="B67" s="2"/>
      <c r="C67" s="2"/>
      <c r="D67" s="2"/>
      <c r="E67" s="2"/>
      <c r="F67" s="2"/>
      <c r="G67" s="2"/>
      <c r="H67" s="2"/>
    </row>
    <row r="68" ht="15.75" customHeight="1">
      <c r="A68" s="2"/>
      <c r="B68" s="2"/>
      <c r="C68" s="2"/>
      <c r="D68" s="2"/>
      <c r="E68" s="2"/>
      <c r="F68" s="2"/>
      <c r="G68" s="2"/>
      <c r="H68" s="2"/>
    </row>
    <row r="69" ht="15.75" customHeight="1">
      <c r="A69" s="2"/>
      <c r="B69" s="2"/>
      <c r="C69" s="2"/>
      <c r="D69" s="2"/>
      <c r="E69" s="2"/>
      <c r="F69" s="2"/>
      <c r="G69" s="2"/>
      <c r="H69" s="2"/>
    </row>
    <row r="70" ht="15.75" customHeight="1">
      <c r="A70" s="2"/>
      <c r="B70" s="2"/>
      <c r="C70" s="2"/>
      <c r="D70" s="2"/>
      <c r="E70" s="2"/>
      <c r="F70" s="2"/>
      <c r="G70" s="2"/>
      <c r="H70" s="2"/>
    </row>
    <row r="71" ht="15.75" customHeight="1">
      <c r="A71" s="2"/>
      <c r="B71" s="2"/>
      <c r="C71" s="2"/>
      <c r="D71" s="2"/>
      <c r="E71" s="2"/>
      <c r="F71" s="2"/>
      <c r="G71" s="2"/>
      <c r="H71" s="2"/>
    </row>
    <row r="72" ht="15.75" customHeight="1">
      <c r="A72" s="2"/>
      <c r="B72" s="2"/>
      <c r="C72" s="2"/>
      <c r="D72" s="2"/>
      <c r="E72" s="2"/>
      <c r="F72" s="2"/>
      <c r="G72" s="2"/>
      <c r="H72" s="2"/>
    </row>
    <row r="73" ht="15.75" customHeight="1">
      <c r="A73" s="2"/>
      <c r="B73" s="2"/>
      <c r="C73" s="2"/>
      <c r="D73" s="2"/>
      <c r="E73" s="2"/>
      <c r="F73" s="2"/>
      <c r="G73" s="2"/>
      <c r="H73" s="2"/>
    </row>
    <row r="74" ht="15.75" customHeight="1">
      <c r="A74" s="2"/>
      <c r="B74" s="2"/>
      <c r="C74" s="2"/>
      <c r="D74" s="2"/>
      <c r="E74" s="2"/>
      <c r="F74" s="2"/>
      <c r="G74" s="2"/>
      <c r="H74" s="2"/>
    </row>
    <row r="75" ht="15.75" customHeight="1">
      <c r="A75" s="2"/>
      <c r="B75" s="2"/>
      <c r="C75" s="2"/>
      <c r="D75" s="2"/>
      <c r="E75" s="2"/>
      <c r="F75" s="2"/>
      <c r="G75" s="2"/>
      <c r="H75" s="2"/>
    </row>
    <row r="76" ht="15.75" customHeight="1">
      <c r="A76" s="2"/>
      <c r="B76" s="2"/>
      <c r="C76" s="2"/>
      <c r="D76" s="2"/>
      <c r="E76" s="2"/>
      <c r="F76" s="2"/>
      <c r="G76" s="2"/>
      <c r="H76" s="2"/>
    </row>
    <row r="77" ht="15.75" customHeight="1">
      <c r="A77" s="2"/>
      <c r="B77" s="2"/>
      <c r="C77" s="2"/>
      <c r="D77" s="2"/>
      <c r="E77" s="2"/>
      <c r="F77" s="2"/>
      <c r="G77" s="2"/>
      <c r="H77" s="2"/>
    </row>
    <row r="78" ht="15.75" customHeight="1">
      <c r="A78" s="2"/>
      <c r="B78" s="2"/>
      <c r="C78" s="2"/>
      <c r="D78" s="2"/>
      <c r="E78" s="2"/>
      <c r="F78" s="2"/>
      <c r="G78" s="2"/>
      <c r="H78" s="2"/>
    </row>
    <row r="79" ht="15.75" customHeight="1">
      <c r="A79" s="2"/>
      <c r="B79" s="2"/>
      <c r="C79" s="2"/>
      <c r="D79" s="2"/>
      <c r="E79" s="2"/>
      <c r="F79" s="2"/>
      <c r="G79" s="2"/>
      <c r="H79" s="2"/>
    </row>
    <row r="80" ht="15.75" customHeight="1">
      <c r="A80" s="2"/>
      <c r="B80" s="2"/>
      <c r="C80" s="2"/>
      <c r="D80" s="2"/>
      <c r="E80" s="2"/>
      <c r="F80" s="2"/>
      <c r="G80" s="2"/>
      <c r="H80" s="2"/>
    </row>
    <row r="81" ht="15.75" customHeight="1">
      <c r="A81" s="2"/>
      <c r="B81" s="2"/>
      <c r="C81" s="2"/>
      <c r="D81" s="2"/>
      <c r="E81" s="2"/>
      <c r="F81" s="2"/>
      <c r="G81" s="2"/>
      <c r="H81" s="2"/>
    </row>
    <row r="82" ht="15.75" customHeight="1">
      <c r="A82" s="2"/>
      <c r="B82" s="2"/>
      <c r="C82" s="2"/>
      <c r="D82" s="2"/>
      <c r="E82" s="2"/>
      <c r="F82" s="2"/>
      <c r="G82" s="2"/>
      <c r="H82" s="2"/>
    </row>
    <row r="83" ht="15.75" customHeight="1">
      <c r="A83" s="2"/>
      <c r="B83" s="2"/>
      <c r="C83" s="2"/>
      <c r="D83" s="2"/>
      <c r="E83" s="2"/>
      <c r="F83" s="2"/>
      <c r="G83" s="2"/>
      <c r="H83" s="2"/>
    </row>
    <row r="84" ht="15.75" customHeight="1">
      <c r="A84" s="2"/>
      <c r="B84" s="2"/>
      <c r="C84" s="2"/>
      <c r="D84" s="2"/>
      <c r="E84" s="2"/>
      <c r="F84" s="2"/>
      <c r="G84" s="2"/>
      <c r="H84" s="2"/>
    </row>
    <row r="85" ht="15.75" customHeight="1">
      <c r="A85" s="2"/>
      <c r="B85" s="2"/>
      <c r="C85" s="2"/>
      <c r="D85" s="2"/>
      <c r="E85" s="2"/>
      <c r="F85" s="2"/>
      <c r="G85" s="2"/>
      <c r="H85" s="2"/>
    </row>
    <row r="86" ht="15.75" customHeight="1">
      <c r="A86" s="2"/>
      <c r="B86" s="2"/>
      <c r="C86" s="2"/>
      <c r="D86" s="2"/>
      <c r="E86" s="2"/>
      <c r="F86" s="2"/>
      <c r="G86" s="2"/>
      <c r="H86" s="2"/>
    </row>
    <row r="87" ht="15.75" customHeight="1">
      <c r="A87" s="2"/>
      <c r="B87" s="2"/>
      <c r="C87" s="2"/>
      <c r="D87" s="2"/>
      <c r="E87" s="2"/>
      <c r="F87" s="2"/>
      <c r="G87" s="2"/>
      <c r="H87" s="2"/>
    </row>
    <row r="88" ht="15.75" customHeight="1">
      <c r="A88" s="2"/>
      <c r="B88" s="2"/>
      <c r="C88" s="2"/>
      <c r="D88" s="2"/>
      <c r="E88" s="2"/>
      <c r="F88" s="2"/>
      <c r="G88" s="2"/>
      <c r="H88" s="2"/>
    </row>
    <row r="89" ht="15.75" customHeight="1">
      <c r="A89" s="2"/>
      <c r="B89" s="2"/>
      <c r="C89" s="2"/>
      <c r="D89" s="2"/>
      <c r="E89" s="2"/>
      <c r="F89" s="2"/>
      <c r="G89" s="2"/>
      <c r="H89" s="2"/>
    </row>
    <row r="90" ht="15.75" customHeight="1">
      <c r="A90" s="2"/>
      <c r="B90" s="2"/>
      <c r="C90" s="2"/>
      <c r="D90" s="2"/>
      <c r="E90" s="2"/>
      <c r="F90" s="2"/>
      <c r="G90" s="2"/>
      <c r="H90" s="2"/>
    </row>
    <row r="91" ht="15.75" customHeight="1">
      <c r="A91" s="2"/>
      <c r="B91" s="2"/>
      <c r="C91" s="2"/>
      <c r="D91" s="2"/>
      <c r="E91" s="2"/>
      <c r="F91" s="2"/>
      <c r="G91" s="2"/>
      <c r="H91" s="2"/>
    </row>
    <row r="92" ht="15.75" customHeight="1">
      <c r="A92" s="2"/>
      <c r="B92" s="2"/>
      <c r="C92" s="2"/>
      <c r="D92" s="2"/>
      <c r="E92" s="2"/>
      <c r="F92" s="2"/>
      <c r="G92" s="2"/>
      <c r="H92" s="2"/>
    </row>
    <row r="93" ht="15.75" customHeight="1">
      <c r="A93" s="2"/>
      <c r="B93" s="2"/>
      <c r="C93" s="2"/>
      <c r="D93" s="2"/>
      <c r="E93" s="2"/>
      <c r="F93" s="2"/>
      <c r="G93" s="2"/>
      <c r="H93" s="2"/>
    </row>
    <row r="94" ht="15.75" customHeight="1">
      <c r="A94" s="2"/>
      <c r="B94" s="2"/>
      <c r="C94" s="2"/>
      <c r="D94" s="2"/>
      <c r="E94" s="2"/>
      <c r="F94" s="2"/>
      <c r="G94" s="2"/>
      <c r="H94" s="2"/>
    </row>
    <row r="95" ht="15.75" customHeight="1">
      <c r="A95" s="2"/>
      <c r="B95" s="2"/>
      <c r="C95" s="2"/>
      <c r="D95" s="2"/>
      <c r="E95" s="2"/>
      <c r="F95" s="2"/>
      <c r="G95" s="2"/>
      <c r="H95" s="2"/>
    </row>
    <row r="96" ht="15.75" customHeight="1">
      <c r="A96" s="2"/>
      <c r="B96" s="2"/>
      <c r="C96" s="2"/>
      <c r="D96" s="2"/>
      <c r="E96" s="2"/>
      <c r="F96" s="2"/>
      <c r="G96" s="2"/>
      <c r="H96" s="2"/>
    </row>
    <row r="97" ht="15.75" customHeight="1">
      <c r="A97" s="2"/>
      <c r="B97" s="2"/>
      <c r="C97" s="2"/>
      <c r="D97" s="2"/>
      <c r="E97" s="2"/>
      <c r="F97" s="2"/>
      <c r="G97" s="2"/>
      <c r="H97" s="2"/>
    </row>
    <row r="98" ht="15.75" customHeight="1">
      <c r="A98" s="2"/>
      <c r="B98" s="2"/>
      <c r="C98" s="2"/>
      <c r="D98" s="2"/>
      <c r="E98" s="2"/>
      <c r="F98" s="2"/>
      <c r="G98" s="2"/>
      <c r="H98" s="2"/>
    </row>
    <row r="99" ht="15.75" customHeight="1">
      <c r="A99" s="2"/>
      <c r="B99" s="2"/>
      <c r="C99" s="2"/>
      <c r="D99" s="2"/>
      <c r="E99" s="2"/>
      <c r="F99" s="2"/>
      <c r="G99" s="2"/>
      <c r="H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</row>
  </sheetData>
  <printOptions/>
  <pageMargins bottom="1.0" footer="0.0" header="0.0" left="0.75" right="0.75" top="1.0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4.0"/>
    <col customWidth="1" min="3" max="3" width="22.0"/>
    <col customWidth="1" min="4" max="4" width="30.0"/>
    <col customWidth="1" min="5" max="5" width="18.0"/>
    <col customWidth="1" min="6" max="6" width="13.0"/>
    <col customWidth="1" min="7" max="7" width="20.0"/>
    <col customWidth="1" min="8" max="8" width="24.0"/>
  </cols>
  <sheetData>
    <row r="1">
      <c r="A1" s="18" t="s">
        <v>410</v>
      </c>
      <c r="B1" s="2"/>
      <c r="C1" s="2"/>
      <c r="D1" s="2"/>
      <c r="E1" s="2"/>
      <c r="F1" s="2"/>
      <c r="G1" s="2"/>
      <c r="H1" s="2"/>
    </row>
    <row r="2">
      <c r="A2" s="19" t="s">
        <v>411</v>
      </c>
      <c r="B2" s="2"/>
      <c r="C2" s="2"/>
      <c r="D2" s="2"/>
      <c r="E2" s="2"/>
      <c r="F2" s="2"/>
      <c r="G2" s="2"/>
      <c r="H2" s="2"/>
    </row>
    <row r="3">
      <c r="A3" s="2"/>
      <c r="B3" s="2"/>
      <c r="C3" s="2"/>
      <c r="D3" s="2"/>
      <c r="E3" s="2"/>
      <c r="F3" s="2"/>
      <c r="G3" s="2"/>
      <c r="H3" s="2"/>
    </row>
    <row r="4">
      <c r="A4" s="20" t="s">
        <v>81</v>
      </c>
      <c r="B4" s="20" t="s">
        <v>82</v>
      </c>
      <c r="C4" s="20" t="s">
        <v>83</v>
      </c>
      <c r="D4" s="20" t="s">
        <v>84</v>
      </c>
      <c r="E4" s="20" t="s">
        <v>85</v>
      </c>
      <c r="F4" s="20" t="s">
        <v>86</v>
      </c>
      <c r="G4" s="20" t="s">
        <v>87</v>
      </c>
      <c r="H4" s="20" t="s">
        <v>9</v>
      </c>
    </row>
    <row r="5">
      <c r="A5" s="5">
        <v>1.0</v>
      </c>
      <c r="B5" s="5" t="s">
        <v>53</v>
      </c>
      <c r="C5" s="5">
        <v>90.0</v>
      </c>
      <c r="D5" s="6" t="s">
        <v>412</v>
      </c>
      <c r="E5" s="5" t="str">
        <f>C5</f>
        <v>90</v>
      </c>
      <c r="F5" s="5" t="str">
        <f t="shared" ref="F5:F15" si="1">960-E5</f>
        <v>870</v>
      </c>
      <c r="G5" s="8" t="str">
        <f t="shared" ref="G5:G15" si="2">E5/960</f>
        <v>9.4%</v>
      </c>
      <c r="H5" s="5" t="str">
        <f t="shared" ref="H5:H15" si="3">IF(G5&gt;=1, "100.0% (Package Over)", TEXT(MIN(G5*100, 99.9), "0.0") &amp; "%")</f>
        <v>9.4%</v>
      </c>
    </row>
    <row r="6">
      <c r="A6" s="5">
        <v>2.0</v>
      </c>
      <c r="B6" s="5" t="s">
        <v>62</v>
      </c>
      <c r="C6" s="5">
        <v>90.0</v>
      </c>
      <c r="D6" s="6" t="s">
        <v>412</v>
      </c>
      <c r="E6" s="5" t="str">
        <f t="shared" ref="E6:E15" si="4">E5+C6</f>
        <v>180</v>
      </c>
      <c r="F6" s="5" t="str">
        <f t="shared" si="1"/>
        <v>780</v>
      </c>
      <c r="G6" s="8" t="str">
        <f t="shared" si="2"/>
        <v>18.8%</v>
      </c>
      <c r="H6" s="5" t="str">
        <f t="shared" si="3"/>
        <v>18.8%</v>
      </c>
    </row>
    <row r="7">
      <c r="A7" s="5">
        <v>3.0</v>
      </c>
      <c r="B7" s="5" t="s">
        <v>246</v>
      </c>
      <c r="C7" s="5">
        <v>90.0</v>
      </c>
      <c r="D7" s="6" t="s">
        <v>412</v>
      </c>
      <c r="E7" s="5" t="str">
        <f t="shared" si="4"/>
        <v>270</v>
      </c>
      <c r="F7" s="5" t="str">
        <f t="shared" si="1"/>
        <v>690</v>
      </c>
      <c r="G7" s="8" t="str">
        <f t="shared" si="2"/>
        <v>28.1%</v>
      </c>
      <c r="H7" s="5" t="str">
        <f t="shared" si="3"/>
        <v>28.1%</v>
      </c>
    </row>
    <row r="8">
      <c r="A8" s="5">
        <v>4.0</v>
      </c>
      <c r="B8" s="5" t="s">
        <v>223</v>
      </c>
      <c r="C8" s="5">
        <v>90.0</v>
      </c>
      <c r="D8" s="6" t="s">
        <v>412</v>
      </c>
      <c r="E8" s="5" t="str">
        <f t="shared" si="4"/>
        <v>360</v>
      </c>
      <c r="F8" s="5" t="str">
        <f t="shared" si="1"/>
        <v>600</v>
      </c>
      <c r="G8" s="8" t="str">
        <f t="shared" si="2"/>
        <v>37.5%</v>
      </c>
      <c r="H8" s="5" t="str">
        <f t="shared" si="3"/>
        <v>37.5%</v>
      </c>
    </row>
    <row r="9">
      <c r="A9" s="5">
        <v>5.0</v>
      </c>
      <c r="B9" s="5" t="s">
        <v>365</v>
      </c>
      <c r="C9" s="5">
        <v>90.0</v>
      </c>
      <c r="D9" s="6" t="s">
        <v>413</v>
      </c>
      <c r="E9" s="5" t="str">
        <f t="shared" si="4"/>
        <v>450</v>
      </c>
      <c r="F9" s="5" t="str">
        <f t="shared" si="1"/>
        <v>510</v>
      </c>
      <c r="G9" s="8" t="str">
        <f t="shared" si="2"/>
        <v>46.9%</v>
      </c>
      <c r="H9" s="5" t="str">
        <f t="shared" si="3"/>
        <v>46.9%</v>
      </c>
    </row>
    <row r="10">
      <c r="A10" s="5">
        <v>6.0</v>
      </c>
      <c r="B10" s="5" t="s">
        <v>145</v>
      </c>
      <c r="C10" s="5">
        <v>90.0</v>
      </c>
      <c r="D10" s="6" t="s">
        <v>414</v>
      </c>
      <c r="E10" s="5" t="str">
        <f t="shared" si="4"/>
        <v>540</v>
      </c>
      <c r="F10" s="5" t="str">
        <f t="shared" si="1"/>
        <v>420</v>
      </c>
      <c r="G10" s="8" t="str">
        <f t="shared" si="2"/>
        <v>56.3%</v>
      </c>
      <c r="H10" s="5" t="str">
        <f t="shared" si="3"/>
        <v>56.3%</v>
      </c>
    </row>
    <row r="11">
      <c r="A11" s="5">
        <v>7.0</v>
      </c>
      <c r="B11" s="5" t="s">
        <v>415</v>
      </c>
      <c r="C11" s="5">
        <v>90.0</v>
      </c>
      <c r="D11" s="6" t="s">
        <v>416</v>
      </c>
      <c r="E11" s="5" t="str">
        <f t="shared" si="4"/>
        <v>630</v>
      </c>
      <c r="F11" s="5" t="str">
        <f t="shared" si="1"/>
        <v>330</v>
      </c>
      <c r="G11" s="8" t="str">
        <f t="shared" si="2"/>
        <v>65.6%</v>
      </c>
      <c r="H11" s="5" t="str">
        <f t="shared" si="3"/>
        <v>65.6%</v>
      </c>
    </row>
    <row r="12">
      <c r="A12" s="5">
        <v>8.0</v>
      </c>
      <c r="B12" s="5" t="s">
        <v>373</v>
      </c>
      <c r="C12" s="5">
        <v>90.0</v>
      </c>
      <c r="D12" s="6" t="s">
        <v>414</v>
      </c>
      <c r="E12" s="5" t="str">
        <f t="shared" si="4"/>
        <v>720</v>
      </c>
      <c r="F12" s="5" t="str">
        <f t="shared" si="1"/>
        <v>240</v>
      </c>
      <c r="G12" s="8" t="str">
        <f t="shared" si="2"/>
        <v>75.0%</v>
      </c>
      <c r="H12" s="5" t="str">
        <f t="shared" si="3"/>
        <v>75.0%</v>
      </c>
    </row>
    <row r="13">
      <c r="A13" s="5">
        <v>9.0</v>
      </c>
      <c r="B13" s="5" t="s">
        <v>417</v>
      </c>
      <c r="C13" s="5">
        <v>90.0</v>
      </c>
      <c r="D13" s="6" t="s">
        <v>418</v>
      </c>
      <c r="E13" s="5" t="str">
        <f t="shared" si="4"/>
        <v>810</v>
      </c>
      <c r="F13" s="5" t="str">
        <f t="shared" si="1"/>
        <v>150</v>
      </c>
      <c r="G13" s="8" t="str">
        <f t="shared" si="2"/>
        <v>84.4%</v>
      </c>
      <c r="H13" s="5" t="str">
        <f t="shared" si="3"/>
        <v>84.4%</v>
      </c>
    </row>
    <row r="14">
      <c r="A14" s="5">
        <v>10.0</v>
      </c>
      <c r="B14" s="5" t="s">
        <v>419</v>
      </c>
      <c r="C14" s="5">
        <v>90.0</v>
      </c>
      <c r="D14" s="6" t="s">
        <v>418</v>
      </c>
      <c r="E14" s="5" t="str">
        <f t="shared" si="4"/>
        <v>900</v>
      </c>
      <c r="F14" s="5" t="str">
        <f t="shared" si="1"/>
        <v>60</v>
      </c>
      <c r="G14" s="8" t="str">
        <f t="shared" si="2"/>
        <v>93.8%</v>
      </c>
      <c r="H14" s="5" t="str">
        <f t="shared" si="3"/>
        <v>93.8%</v>
      </c>
    </row>
    <row r="15">
      <c r="A15" s="5">
        <v>11.0</v>
      </c>
      <c r="B15" s="5" t="s">
        <v>420</v>
      </c>
      <c r="C15" s="5">
        <v>60.0</v>
      </c>
      <c r="D15" s="6" t="s">
        <v>130</v>
      </c>
      <c r="E15" s="5" t="str">
        <f t="shared" si="4"/>
        <v>960</v>
      </c>
      <c r="F15" s="5" t="str">
        <f t="shared" si="1"/>
        <v>0</v>
      </c>
      <c r="G15" s="8" t="str">
        <f t="shared" si="2"/>
        <v>100.0%</v>
      </c>
      <c r="H15" s="5" t="str">
        <f t="shared" si="3"/>
        <v>100.0% (Package Over)</v>
      </c>
    </row>
    <row r="16">
      <c r="A16" s="2"/>
      <c r="B16" s="2"/>
      <c r="C16" s="2"/>
      <c r="D16" s="2"/>
      <c r="E16" s="2"/>
      <c r="F16" s="2"/>
      <c r="G16" s="2"/>
      <c r="H16" s="2"/>
    </row>
    <row r="17">
      <c r="A17" s="2"/>
      <c r="B17" s="2"/>
      <c r="C17" s="2"/>
      <c r="D17" s="2"/>
      <c r="E17" s="2"/>
      <c r="F17" s="2"/>
      <c r="G17" s="2"/>
      <c r="H17" s="2"/>
    </row>
    <row r="18">
      <c r="A18" s="2"/>
      <c r="B18" s="2"/>
      <c r="C18" s="2"/>
      <c r="D18" s="2"/>
      <c r="E18" s="2"/>
      <c r="F18" s="2"/>
      <c r="G18" s="2"/>
      <c r="H18" s="2"/>
    </row>
    <row r="19">
      <c r="A19" s="2"/>
      <c r="B19" s="2"/>
      <c r="C19" s="2"/>
      <c r="D19" s="2"/>
      <c r="E19" s="2"/>
      <c r="F19" s="2"/>
      <c r="G19" s="2"/>
      <c r="H19" s="2"/>
    </row>
    <row r="20">
      <c r="A20" s="2"/>
      <c r="B20" s="2"/>
      <c r="C20" s="2"/>
      <c r="D20" s="2"/>
      <c r="E20" s="2"/>
      <c r="F20" s="2"/>
      <c r="G20" s="2"/>
      <c r="H20" s="2"/>
    </row>
    <row r="21" ht="15.75" customHeight="1">
      <c r="A21" s="2"/>
      <c r="B21" s="2"/>
      <c r="C21" s="2"/>
      <c r="D21" s="2"/>
      <c r="E21" s="2"/>
      <c r="F21" s="2"/>
      <c r="G21" s="2"/>
      <c r="H21" s="2"/>
    </row>
    <row r="22" ht="15.75" customHeight="1">
      <c r="A22" s="2"/>
      <c r="B22" s="2"/>
      <c r="C22" s="2"/>
      <c r="D22" s="2"/>
      <c r="E22" s="2"/>
      <c r="F22" s="2"/>
      <c r="G22" s="2"/>
      <c r="H22" s="2"/>
    </row>
    <row r="23" ht="15.75" customHeight="1">
      <c r="A23" s="2"/>
      <c r="B23" s="2"/>
      <c r="C23" s="2"/>
      <c r="D23" s="2"/>
      <c r="E23" s="2"/>
      <c r="F23" s="2"/>
      <c r="G23" s="2"/>
      <c r="H23" s="2"/>
    </row>
    <row r="24" ht="15.75" customHeight="1">
      <c r="A24" s="2"/>
      <c r="B24" s="2"/>
      <c r="C24" s="2"/>
      <c r="D24" s="2"/>
      <c r="E24" s="2"/>
      <c r="F24" s="2"/>
      <c r="G24" s="2"/>
      <c r="H24" s="2"/>
    </row>
    <row r="25" ht="15.75" customHeight="1">
      <c r="A25" s="2"/>
      <c r="B25" s="2"/>
      <c r="C25" s="2"/>
      <c r="D25" s="2"/>
      <c r="E25" s="2"/>
      <c r="F25" s="2"/>
      <c r="G25" s="2"/>
      <c r="H25" s="2"/>
    </row>
    <row r="26" ht="15.75" customHeight="1">
      <c r="A26" s="2"/>
      <c r="B26" s="2"/>
      <c r="C26" s="2"/>
      <c r="D26" s="2"/>
      <c r="E26" s="2"/>
      <c r="F26" s="2"/>
      <c r="G26" s="2"/>
      <c r="H26" s="2"/>
    </row>
    <row r="27" ht="15.75" customHeight="1">
      <c r="A27" s="2"/>
      <c r="B27" s="2"/>
      <c r="C27" s="2"/>
      <c r="D27" s="2"/>
      <c r="E27" s="2"/>
      <c r="F27" s="2"/>
      <c r="G27" s="2"/>
      <c r="H27" s="2"/>
    </row>
    <row r="28" ht="15.75" customHeight="1">
      <c r="A28" s="2"/>
      <c r="B28" s="2"/>
      <c r="C28" s="2"/>
      <c r="D28" s="2"/>
      <c r="E28" s="2"/>
      <c r="F28" s="2"/>
      <c r="G28" s="2"/>
      <c r="H28" s="2"/>
    </row>
    <row r="29" ht="15.75" customHeight="1">
      <c r="A29" s="2"/>
      <c r="B29" s="2"/>
      <c r="C29" s="2"/>
      <c r="D29" s="2"/>
      <c r="E29" s="2"/>
      <c r="F29" s="2"/>
      <c r="G29" s="2"/>
      <c r="H29" s="2"/>
    </row>
    <row r="30" ht="15.75" customHeight="1">
      <c r="A30" s="2"/>
      <c r="B30" s="2"/>
      <c r="C30" s="2"/>
      <c r="D30" s="2"/>
      <c r="E30" s="2"/>
      <c r="F30" s="2"/>
      <c r="G30" s="2"/>
      <c r="H30" s="2"/>
    </row>
    <row r="31" ht="15.75" customHeight="1">
      <c r="A31" s="2"/>
      <c r="B31" s="2"/>
      <c r="C31" s="2"/>
      <c r="D31" s="2"/>
      <c r="E31" s="2"/>
      <c r="F31" s="2"/>
      <c r="G31" s="2"/>
      <c r="H31" s="2"/>
    </row>
    <row r="32" ht="15.75" customHeight="1">
      <c r="A32" s="2"/>
      <c r="B32" s="2"/>
      <c r="C32" s="2"/>
      <c r="D32" s="2"/>
      <c r="E32" s="2"/>
      <c r="F32" s="2"/>
      <c r="G32" s="2"/>
      <c r="H32" s="2"/>
    </row>
    <row r="33" ht="15.75" customHeight="1">
      <c r="A33" s="2"/>
      <c r="B33" s="2"/>
      <c r="C33" s="2"/>
      <c r="D33" s="2"/>
      <c r="E33" s="2"/>
      <c r="F33" s="2"/>
      <c r="G33" s="2"/>
      <c r="H33" s="2"/>
    </row>
    <row r="34" ht="15.75" customHeight="1">
      <c r="A34" s="2"/>
      <c r="B34" s="2"/>
      <c r="C34" s="2"/>
      <c r="D34" s="2"/>
      <c r="E34" s="2"/>
      <c r="F34" s="2"/>
      <c r="G34" s="2"/>
      <c r="H34" s="2"/>
    </row>
    <row r="35" ht="15.75" customHeight="1">
      <c r="A35" s="2"/>
      <c r="B35" s="2"/>
      <c r="C35" s="2"/>
      <c r="D35" s="2"/>
      <c r="E35" s="2"/>
      <c r="F35" s="2"/>
      <c r="G35" s="2"/>
      <c r="H35" s="2"/>
    </row>
    <row r="36" ht="15.75" customHeight="1">
      <c r="A36" s="2"/>
      <c r="B36" s="2"/>
      <c r="C36" s="2"/>
      <c r="D36" s="2"/>
      <c r="E36" s="2"/>
      <c r="F36" s="2"/>
      <c r="G36" s="2"/>
      <c r="H36" s="2"/>
    </row>
    <row r="37" ht="15.75" customHeight="1">
      <c r="A37" s="2"/>
      <c r="B37" s="2"/>
      <c r="C37" s="2"/>
      <c r="D37" s="2"/>
      <c r="E37" s="2"/>
      <c r="F37" s="2"/>
      <c r="G37" s="2"/>
      <c r="H37" s="2"/>
    </row>
    <row r="38" ht="15.75" customHeight="1">
      <c r="A38" s="2"/>
      <c r="B38" s="2"/>
      <c r="C38" s="2"/>
      <c r="D38" s="2"/>
      <c r="E38" s="2"/>
      <c r="F38" s="2"/>
      <c r="G38" s="2"/>
      <c r="H38" s="2"/>
    </row>
    <row r="39" ht="15.75" customHeight="1">
      <c r="A39" s="2"/>
      <c r="B39" s="2"/>
      <c r="C39" s="2"/>
      <c r="D39" s="2"/>
      <c r="E39" s="2"/>
      <c r="F39" s="2"/>
      <c r="G39" s="2"/>
      <c r="H39" s="2"/>
    </row>
    <row r="40" ht="15.75" customHeight="1">
      <c r="A40" s="2"/>
      <c r="B40" s="2"/>
      <c r="C40" s="2"/>
      <c r="D40" s="2"/>
      <c r="E40" s="2"/>
      <c r="F40" s="2"/>
      <c r="G40" s="2"/>
      <c r="H40" s="2"/>
    </row>
    <row r="41" ht="15.75" customHeight="1">
      <c r="A41" s="2"/>
      <c r="B41" s="2"/>
      <c r="C41" s="2"/>
      <c r="D41" s="2"/>
      <c r="E41" s="2"/>
      <c r="F41" s="2"/>
      <c r="G41" s="2"/>
      <c r="H41" s="2"/>
    </row>
    <row r="42" ht="15.75" customHeight="1">
      <c r="A42" s="2"/>
      <c r="B42" s="2"/>
      <c r="C42" s="2"/>
      <c r="D42" s="2"/>
      <c r="E42" s="2"/>
      <c r="F42" s="2"/>
      <c r="G42" s="2"/>
      <c r="H42" s="2"/>
    </row>
    <row r="43" ht="15.75" customHeight="1">
      <c r="A43" s="2"/>
      <c r="B43" s="2"/>
      <c r="C43" s="2"/>
      <c r="D43" s="2"/>
      <c r="E43" s="2"/>
      <c r="F43" s="2"/>
      <c r="G43" s="2"/>
      <c r="H43" s="2"/>
    </row>
    <row r="44" ht="15.75" customHeight="1">
      <c r="A44" s="2"/>
      <c r="B44" s="2"/>
      <c r="C44" s="2"/>
      <c r="D44" s="2"/>
      <c r="E44" s="2"/>
      <c r="F44" s="2"/>
      <c r="G44" s="2"/>
      <c r="H44" s="2"/>
    </row>
    <row r="45" ht="15.75" customHeight="1">
      <c r="A45" s="2"/>
      <c r="B45" s="2"/>
      <c r="C45" s="2"/>
      <c r="D45" s="2"/>
      <c r="E45" s="2"/>
      <c r="F45" s="2"/>
      <c r="G45" s="2"/>
      <c r="H45" s="2"/>
    </row>
    <row r="46" ht="15.75" customHeight="1">
      <c r="A46" s="2"/>
      <c r="B46" s="2"/>
      <c r="C46" s="2"/>
      <c r="D46" s="2"/>
      <c r="E46" s="2"/>
      <c r="F46" s="2"/>
      <c r="G46" s="2"/>
      <c r="H46" s="2"/>
    </row>
    <row r="47" ht="15.75" customHeight="1">
      <c r="A47" s="2"/>
      <c r="B47" s="2"/>
      <c r="C47" s="2"/>
      <c r="D47" s="2"/>
      <c r="E47" s="2"/>
      <c r="F47" s="2"/>
      <c r="G47" s="2"/>
      <c r="H47" s="2"/>
    </row>
    <row r="48" ht="15.75" customHeight="1">
      <c r="A48" s="2"/>
      <c r="B48" s="2"/>
      <c r="C48" s="2"/>
      <c r="D48" s="2"/>
      <c r="E48" s="2"/>
      <c r="F48" s="2"/>
      <c r="G48" s="2"/>
      <c r="H48" s="2"/>
    </row>
    <row r="49" ht="15.75" customHeight="1">
      <c r="A49" s="2"/>
      <c r="B49" s="2"/>
      <c r="C49" s="2"/>
      <c r="D49" s="2"/>
      <c r="E49" s="2"/>
      <c r="F49" s="2"/>
      <c r="G49" s="2"/>
      <c r="H49" s="2"/>
    </row>
    <row r="50" ht="15.75" customHeight="1">
      <c r="A50" s="2"/>
      <c r="B50" s="2"/>
      <c r="C50" s="2"/>
      <c r="D50" s="2"/>
      <c r="E50" s="2"/>
      <c r="F50" s="2"/>
      <c r="G50" s="2"/>
      <c r="H50" s="2"/>
    </row>
    <row r="51" ht="15.75" customHeight="1">
      <c r="A51" s="2"/>
      <c r="B51" s="2"/>
      <c r="C51" s="2"/>
      <c r="D51" s="2"/>
      <c r="E51" s="2"/>
      <c r="F51" s="2"/>
      <c r="G51" s="2"/>
      <c r="H51" s="2"/>
    </row>
    <row r="52" ht="15.75" customHeight="1">
      <c r="A52" s="2"/>
      <c r="B52" s="2"/>
      <c r="C52" s="2"/>
      <c r="D52" s="2"/>
      <c r="E52" s="2"/>
      <c r="F52" s="2"/>
      <c r="G52" s="2"/>
      <c r="H52" s="2"/>
    </row>
    <row r="53" ht="15.75" customHeight="1">
      <c r="A53" s="2"/>
      <c r="B53" s="2"/>
      <c r="C53" s="2"/>
      <c r="D53" s="2"/>
      <c r="E53" s="2"/>
      <c r="F53" s="2"/>
      <c r="G53" s="2"/>
      <c r="H53" s="2"/>
    </row>
    <row r="54" ht="15.75" customHeight="1">
      <c r="A54" s="2"/>
      <c r="B54" s="2"/>
      <c r="C54" s="2"/>
      <c r="D54" s="2"/>
      <c r="E54" s="2"/>
      <c r="F54" s="2"/>
      <c r="G54" s="2"/>
      <c r="H54" s="2"/>
    </row>
    <row r="55" ht="15.75" customHeight="1">
      <c r="A55" s="2"/>
      <c r="B55" s="2"/>
      <c r="C55" s="2"/>
      <c r="D55" s="2"/>
      <c r="E55" s="2"/>
      <c r="F55" s="2"/>
      <c r="G55" s="2"/>
      <c r="H55" s="2"/>
    </row>
    <row r="56" ht="15.75" customHeight="1">
      <c r="A56" s="2"/>
      <c r="B56" s="2"/>
      <c r="C56" s="2"/>
      <c r="D56" s="2"/>
      <c r="E56" s="2"/>
      <c r="F56" s="2"/>
      <c r="G56" s="2"/>
      <c r="H56" s="2"/>
    </row>
    <row r="57" ht="15.75" customHeight="1">
      <c r="A57" s="2"/>
      <c r="B57" s="2"/>
      <c r="C57" s="2"/>
      <c r="D57" s="2"/>
      <c r="E57" s="2"/>
      <c r="F57" s="2"/>
      <c r="G57" s="2"/>
      <c r="H57" s="2"/>
    </row>
    <row r="58" ht="15.75" customHeight="1">
      <c r="A58" s="2"/>
      <c r="B58" s="2"/>
      <c r="C58" s="2"/>
      <c r="D58" s="2"/>
      <c r="E58" s="2"/>
      <c r="F58" s="2"/>
      <c r="G58" s="2"/>
      <c r="H58" s="2"/>
    </row>
    <row r="59" ht="15.75" customHeight="1">
      <c r="A59" s="2"/>
      <c r="B59" s="2"/>
      <c r="C59" s="2"/>
      <c r="D59" s="2"/>
      <c r="E59" s="2"/>
      <c r="F59" s="2"/>
      <c r="G59" s="2"/>
      <c r="H59" s="2"/>
    </row>
    <row r="60" ht="15.75" customHeight="1">
      <c r="A60" s="2"/>
      <c r="B60" s="2"/>
      <c r="C60" s="2"/>
      <c r="D60" s="2"/>
      <c r="E60" s="2"/>
      <c r="F60" s="2"/>
      <c r="G60" s="2"/>
      <c r="H60" s="2"/>
    </row>
    <row r="61" ht="15.75" customHeight="1">
      <c r="A61" s="2"/>
      <c r="B61" s="2"/>
      <c r="C61" s="2"/>
      <c r="D61" s="2"/>
      <c r="E61" s="2"/>
      <c r="F61" s="2"/>
      <c r="G61" s="2"/>
      <c r="H61" s="2"/>
    </row>
    <row r="62" ht="15.75" customHeight="1">
      <c r="A62" s="2"/>
      <c r="B62" s="2"/>
      <c r="C62" s="2"/>
      <c r="D62" s="2"/>
      <c r="E62" s="2"/>
      <c r="F62" s="2"/>
      <c r="G62" s="2"/>
      <c r="H62" s="2"/>
    </row>
    <row r="63" ht="15.75" customHeight="1">
      <c r="A63" s="2"/>
      <c r="B63" s="2"/>
      <c r="C63" s="2"/>
      <c r="D63" s="2"/>
      <c r="E63" s="2"/>
      <c r="F63" s="2"/>
      <c r="G63" s="2"/>
      <c r="H63" s="2"/>
    </row>
    <row r="64" ht="15.75" customHeight="1">
      <c r="A64" s="2"/>
      <c r="B64" s="2"/>
      <c r="C64" s="2"/>
      <c r="D64" s="2"/>
      <c r="E64" s="2"/>
      <c r="F64" s="2"/>
      <c r="G64" s="2"/>
      <c r="H64" s="2"/>
    </row>
    <row r="65" ht="15.75" customHeight="1">
      <c r="A65" s="2"/>
      <c r="B65" s="2"/>
      <c r="C65" s="2"/>
      <c r="D65" s="2"/>
      <c r="E65" s="2"/>
      <c r="F65" s="2"/>
      <c r="G65" s="2"/>
      <c r="H65" s="2"/>
    </row>
    <row r="66" ht="15.75" customHeight="1">
      <c r="A66" s="2"/>
      <c r="B66" s="2"/>
      <c r="C66" s="2"/>
      <c r="D66" s="2"/>
      <c r="E66" s="2"/>
      <c r="F66" s="2"/>
      <c r="G66" s="2"/>
      <c r="H66" s="2"/>
    </row>
    <row r="67" ht="15.75" customHeight="1">
      <c r="A67" s="2"/>
      <c r="B67" s="2"/>
      <c r="C67" s="2"/>
      <c r="D67" s="2"/>
      <c r="E67" s="2"/>
      <c r="F67" s="2"/>
      <c r="G67" s="2"/>
      <c r="H67" s="2"/>
    </row>
    <row r="68" ht="15.75" customHeight="1">
      <c r="A68" s="2"/>
      <c r="B68" s="2"/>
      <c r="C68" s="2"/>
      <c r="D68" s="2"/>
      <c r="E68" s="2"/>
      <c r="F68" s="2"/>
      <c r="G68" s="2"/>
      <c r="H68" s="2"/>
    </row>
    <row r="69" ht="15.75" customHeight="1">
      <c r="A69" s="2"/>
      <c r="B69" s="2"/>
      <c r="C69" s="2"/>
      <c r="D69" s="2"/>
      <c r="E69" s="2"/>
      <c r="F69" s="2"/>
      <c r="G69" s="2"/>
      <c r="H69" s="2"/>
    </row>
    <row r="70" ht="15.75" customHeight="1">
      <c r="A70" s="2"/>
      <c r="B70" s="2"/>
      <c r="C70" s="2"/>
      <c r="D70" s="2"/>
      <c r="E70" s="2"/>
      <c r="F70" s="2"/>
      <c r="G70" s="2"/>
      <c r="H70" s="2"/>
    </row>
    <row r="71" ht="15.75" customHeight="1">
      <c r="A71" s="2"/>
      <c r="B71" s="2"/>
      <c r="C71" s="2"/>
      <c r="D71" s="2"/>
      <c r="E71" s="2"/>
      <c r="F71" s="2"/>
      <c r="G71" s="2"/>
      <c r="H71" s="2"/>
    </row>
    <row r="72" ht="15.75" customHeight="1">
      <c r="A72" s="2"/>
      <c r="B72" s="2"/>
      <c r="C72" s="2"/>
      <c r="D72" s="2"/>
      <c r="E72" s="2"/>
      <c r="F72" s="2"/>
      <c r="G72" s="2"/>
      <c r="H72" s="2"/>
    </row>
    <row r="73" ht="15.75" customHeight="1">
      <c r="A73" s="2"/>
      <c r="B73" s="2"/>
      <c r="C73" s="2"/>
      <c r="D73" s="2"/>
      <c r="E73" s="2"/>
      <c r="F73" s="2"/>
      <c r="G73" s="2"/>
      <c r="H73" s="2"/>
    </row>
    <row r="74" ht="15.75" customHeight="1">
      <c r="A74" s="2"/>
      <c r="B74" s="2"/>
      <c r="C74" s="2"/>
      <c r="D74" s="2"/>
      <c r="E74" s="2"/>
      <c r="F74" s="2"/>
      <c r="G74" s="2"/>
      <c r="H74" s="2"/>
    </row>
    <row r="75" ht="15.75" customHeight="1">
      <c r="A75" s="2"/>
      <c r="B75" s="2"/>
      <c r="C75" s="2"/>
      <c r="D75" s="2"/>
      <c r="E75" s="2"/>
      <c r="F75" s="2"/>
      <c r="G75" s="2"/>
      <c r="H75" s="2"/>
    </row>
    <row r="76" ht="15.75" customHeight="1">
      <c r="A76" s="2"/>
      <c r="B76" s="2"/>
      <c r="C76" s="2"/>
      <c r="D76" s="2"/>
      <c r="E76" s="2"/>
      <c r="F76" s="2"/>
      <c r="G76" s="2"/>
      <c r="H76" s="2"/>
    </row>
    <row r="77" ht="15.75" customHeight="1">
      <c r="A77" s="2"/>
      <c r="B77" s="2"/>
      <c r="C77" s="2"/>
      <c r="D77" s="2"/>
      <c r="E77" s="2"/>
      <c r="F77" s="2"/>
      <c r="G77" s="2"/>
      <c r="H77" s="2"/>
    </row>
    <row r="78" ht="15.75" customHeight="1">
      <c r="A78" s="2"/>
      <c r="B78" s="2"/>
      <c r="C78" s="2"/>
      <c r="D78" s="2"/>
      <c r="E78" s="2"/>
      <c r="F78" s="2"/>
      <c r="G78" s="2"/>
      <c r="H78" s="2"/>
    </row>
    <row r="79" ht="15.75" customHeight="1">
      <c r="A79" s="2"/>
      <c r="B79" s="2"/>
      <c r="C79" s="2"/>
      <c r="D79" s="2"/>
      <c r="E79" s="2"/>
      <c r="F79" s="2"/>
      <c r="G79" s="2"/>
      <c r="H79" s="2"/>
    </row>
    <row r="80" ht="15.75" customHeight="1">
      <c r="A80" s="2"/>
      <c r="B80" s="2"/>
      <c r="C80" s="2"/>
      <c r="D80" s="2"/>
      <c r="E80" s="2"/>
      <c r="F80" s="2"/>
      <c r="G80" s="2"/>
      <c r="H80" s="2"/>
    </row>
    <row r="81" ht="15.75" customHeight="1">
      <c r="A81" s="2"/>
      <c r="B81" s="2"/>
      <c r="C81" s="2"/>
      <c r="D81" s="2"/>
      <c r="E81" s="2"/>
      <c r="F81" s="2"/>
      <c r="G81" s="2"/>
      <c r="H81" s="2"/>
    </row>
    <row r="82" ht="15.75" customHeight="1">
      <c r="A82" s="2"/>
      <c r="B82" s="2"/>
      <c r="C82" s="2"/>
      <c r="D82" s="2"/>
      <c r="E82" s="2"/>
      <c r="F82" s="2"/>
      <c r="G82" s="2"/>
      <c r="H82" s="2"/>
    </row>
    <row r="83" ht="15.75" customHeight="1">
      <c r="A83" s="2"/>
      <c r="B83" s="2"/>
      <c r="C83" s="2"/>
      <c r="D83" s="2"/>
      <c r="E83" s="2"/>
      <c r="F83" s="2"/>
      <c r="G83" s="2"/>
      <c r="H83" s="2"/>
    </row>
    <row r="84" ht="15.75" customHeight="1">
      <c r="A84" s="2"/>
      <c r="B84" s="2"/>
      <c r="C84" s="2"/>
      <c r="D84" s="2"/>
      <c r="E84" s="2"/>
      <c r="F84" s="2"/>
      <c r="G84" s="2"/>
      <c r="H84" s="2"/>
    </row>
    <row r="85" ht="15.75" customHeight="1">
      <c r="A85" s="2"/>
      <c r="B85" s="2"/>
      <c r="C85" s="2"/>
      <c r="D85" s="2"/>
      <c r="E85" s="2"/>
      <c r="F85" s="2"/>
      <c r="G85" s="2"/>
      <c r="H85" s="2"/>
    </row>
    <row r="86" ht="15.75" customHeight="1">
      <c r="A86" s="2"/>
      <c r="B86" s="2"/>
      <c r="C86" s="2"/>
      <c r="D86" s="2"/>
      <c r="E86" s="2"/>
      <c r="F86" s="2"/>
      <c r="G86" s="2"/>
      <c r="H86" s="2"/>
    </row>
    <row r="87" ht="15.75" customHeight="1">
      <c r="A87" s="2"/>
      <c r="B87" s="2"/>
      <c r="C87" s="2"/>
      <c r="D87" s="2"/>
      <c r="E87" s="2"/>
      <c r="F87" s="2"/>
      <c r="G87" s="2"/>
      <c r="H87" s="2"/>
    </row>
    <row r="88" ht="15.75" customHeight="1">
      <c r="A88" s="2"/>
      <c r="B88" s="2"/>
      <c r="C88" s="2"/>
      <c r="D88" s="2"/>
      <c r="E88" s="2"/>
      <c r="F88" s="2"/>
      <c r="G88" s="2"/>
      <c r="H88" s="2"/>
    </row>
    <row r="89" ht="15.75" customHeight="1">
      <c r="A89" s="2"/>
      <c r="B89" s="2"/>
      <c r="C89" s="2"/>
      <c r="D89" s="2"/>
      <c r="E89" s="2"/>
      <c r="F89" s="2"/>
      <c r="G89" s="2"/>
      <c r="H89" s="2"/>
    </row>
    <row r="90" ht="15.75" customHeight="1">
      <c r="A90" s="2"/>
      <c r="B90" s="2"/>
      <c r="C90" s="2"/>
      <c r="D90" s="2"/>
      <c r="E90" s="2"/>
      <c r="F90" s="2"/>
      <c r="G90" s="2"/>
      <c r="H90" s="2"/>
    </row>
    <row r="91" ht="15.75" customHeight="1">
      <c r="A91" s="2"/>
      <c r="B91" s="2"/>
      <c r="C91" s="2"/>
      <c r="D91" s="2"/>
      <c r="E91" s="2"/>
      <c r="F91" s="2"/>
      <c r="G91" s="2"/>
      <c r="H91" s="2"/>
    </row>
    <row r="92" ht="15.75" customHeight="1">
      <c r="A92" s="2"/>
      <c r="B92" s="2"/>
      <c r="C92" s="2"/>
      <c r="D92" s="2"/>
      <c r="E92" s="2"/>
      <c r="F92" s="2"/>
      <c r="G92" s="2"/>
      <c r="H92" s="2"/>
    </row>
    <row r="93" ht="15.75" customHeight="1">
      <c r="A93" s="2"/>
      <c r="B93" s="2"/>
      <c r="C93" s="2"/>
      <c r="D93" s="2"/>
      <c r="E93" s="2"/>
      <c r="F93" s="2"/>
      <c r="G93" s="2"/>
      <c r="H93" s="2"/>
    </row>
    <row r="94" ht="15.75" customHeight="1">
      <c r="A94" s="2"/>
      <c r="B94" s="2"/>
      <c r="C94" s="2"/>
      <c r="D94" s="2"/>
      <c r="E94" s="2"/>
      <c r="F94" s="2"/>
      <c r="G94" s="2"/>
      <c r="H94" s="2"/>
    </row>
    <row r="95" ht="15.75" customHeight="1">
      <c r="A95" s="2"/>
      <c r="B95" s="2"/>
      <c r="C95" s="2"/>
      <c r="D95" s="2"/>
      <c r="E95" s="2"/>
      <c r="F95" s="2"/>
      <c r="G95" s="2"/>
      <c r="H95" s="2"/>
    </row>
    <row r="96" ht="15.75" customHeight="1">
      <c r="A96" s="2"/>
      <c r="B96" s="2"/>
      <c r="C96" s="2"/>
      <c r="D96" s="2"/>
      <c r="E96" s="2"/>
      <c r="F96" s="2"/>
      <c r="G96" s="2"/>
      <c r="H96" s="2"/>
    </row>
    <row r="97" ht="15.75" customHeight="1">
      <c r="A97" s="2"/>
      <c r="B97" s="2"/>
      <c r="C97" s="2"/>
      <c r="D97" s="2"/>
      <c r="E97" s="2"/>
      <c r="F97" s="2"/>
      <c r="G97" s="2"/>
      <c r="H97" s="2"/>
    </row>
    <row r="98" ht="15.75" customHeight="1">
      <c r="A98" s="2"/>
      <c r="B98" s="2"/>
      <c r="C98" s="2"/>
      <c r="D98" s="2"/>
      <c r="E98" s="2"/>
      <c r="F98" s="2"/>
      <c r="G98" s="2"/>
      <c r="H98" s="2"/>
    </row>
    <row r="99" ht="15.75" customHeight="1">
      <c r="A99" s="2"/>
      <c r="B99" s="2"/>
      <c r="C99" s="2"/>
      <c r="D99" s="2"/>
      <c r="E99" s="2"/>
      <c r="F99" s="2"/>
      <c r="G99" s="2"/>
      <c r="H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</row>
  </sheetData>
  <printOptions/>
  <pageMargins bottom="1.0" footer="0.0" header="0.0" left="0.75" right="0.75" top="1.0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4.0"/>
    <col customWidth="1" min="3" max="3" width="22.0"/>
    <col customWidth="1" min="4" max="4" width="30.0"/>
    <col customWidth="1" min="5" max="5" width="18.0"/>
    <col customWidth="1" min="6" max="6" width="13.0"/>
    <col customWidth="1" min="7" max="7" width="20.0"/>
    <col customWidth="1" min="8" max="8" width="24.0"/>
  </cols>
  <sheetData>
    <row r="1">
      <c r="A1" s="18" t="s">
        <v>421</v>
      </c>
      <c r="B1" s="2"/>
      <c r="C1" s="2"/>
      <c r="D1" s="2"/>
      <c r="E1" s="2"/>
      <c r="F1" s="2"/>
      <c r="G1" s="2"/>
      <c r="H1" s="2"/>
    </row>
    <row r="2">
      <c r="A2" s="19" t="s">
        <v>422</v>
      </c>
      <c r="B2" s="2"/>
      <c r="C2" s="2"/>
      <c r="D2" s="2"/>
      <c r="E2" s="2"/>
      <c r="F2" s="2"/>
      <c r="G2" s="2"/>
      <c r="H2" s="2"/>
    </row>
    <row r="3">
      <c r="A3" s="2"/>
      <c r="B3" s="2"/>
      <c r="C3" s="2"/>
      <c r="D3" s="2"/>
      <c r="E3" s="2"/>
      <c r="F3" s="2"/>
      <c r="G3" s="2"/>
      <c r="H3" s="2"/>
    </row>
    <row r="4">
      <c r="A4" s="20" t="s">
        <v>81</v>
      </c>
      <c r="B4" s="20" t="s">
        <v>82</v>
      </c>
      <c r="C4" s="20" t="s">
        <v>83</v>
      </c>
      <c r="D4" s="20" t="s">
        <v>84</v>
      </c>
      <c r="E4" s="20" t="s">
        <v>85</v>
      </c>
      <c r="F4" s="20" t="s">
        <v>86</v>
      </c>
      <c r="G4" s="20" t="s">
        <v>87</v>
      </c>
      <c r="H4" s="20" t="s">
        <v>9</v>
      </c>
    </row>
    <row r="5">
      <c r="A5" s="5">
        <v>1.0</v>
      </c>
      <c r="B5" s="5" t="s">
        <v>53</v>
      </c>
      <c r="C5" s="5">
        <v>9210.0</v>
      </c>
      <c r="D5" s="6" t="s">
        <v>423</v>
      </c>
      <c r="E5" s="5" t="str">
        <f>C5</f>
        <v>9210</v>
      </c>
      <c r="F5" s="5" t="str">
        <f t="shared" ref="F5:F14" si="1">14710-E5</f>
        <v>5500</v>
      </c>
      <c r="G5" s="8" t="str">
        <f t="shared" ref="G5:G14" si="2">E5/14710</f>
        <v>62.6%</v>
      </c>
      <c r="H5" s="5" t="str">
        <f t="shared" ref="H5:H14" si="3">IF(G5&gt;=1, "100.0% (Package Over)", TEXT(MIN(G5*100, 99.9), "0.0") &amp; "%")</f>
        <v>62.6%</v>
      </c>
    </row>
    <row r="6">
      <c r="A6" s="5">
        <v>2.0</v>
      </c>
      <c r="B6" s="5" t="s">
        <v>276</v>
      </c>
      <c r="C6" s="5">
        <v>950.0</v>
      </c>
      <c r="D6" s="6" t="s">
        <v>424</v>
      </c>
      <c r="E6" s="5" t="str">
        <f t="shared" ref="E6:E14" si="4">E5+C6</f>
        <v>10160</v>
      </c>
      <c r="F6" s="5" t="str">
        <f t="shared" si="1"/>
        <v>4550</v>
      </c>
      <c r="G6" s="8" t="str">
        <f t="shared" si="2"/>
        <v>69.1%</v>
      </c>
      <c r="H6" s="5" t="str">
        <f t="shared" si="3"/>
        <v>69.1%</v>
      </c>
    </row>
    <row r="7">
      <c r="A7" s="5">
        <v>3.0</v>
      </c>
      <c r="B7" s="5" t="s">
        <v>276</v>
      </c>
      <c r="C7" s="5">
        <v>1250.0</v>
      </c>
      <c r="D7" s="6" t="s">
        <v>425</v>
      </c>
      <c r="E7" s="5" t="str">
        <f t="shared" si="4"/>
        <v>11410</v>
      </c>
      <c r="F7" s="5" t="str">
        <f t="shared" si="1"/>
        <v>3300</v>
      </c>
      <c r="G7" s="8" t="str">
        <f t="shared" si="2"/>
        <v>77.6%</v>
      </c>
      <c r="H7" s="5" t="str">
        <f t="shared" si="3"/>
        <v>77.6%</v>
      </c>
    </row>
    <row r="8">
      <c r="A8" s="5">
        <v>4.0</v>
      </c>
      <c r="B8" s="5" t="s">
        <v>168</v>
      </c>
      <c r="C8" s="5">
        <v>950.0</v>
      </c>
      <c r="D8" s="6" t="s">
        <v>426</v>
      </c>
      <c r="E8" s="5" t="str">
        <f t="shared" si="4"/>
        <v>12360</v>
      </c>
      <c r="F8" s="5" t="str">
        <f t="shared" si="1"/>
        <v>2350</v>
      </c>
      <c r="G8" s="8" t="str">
        <f t="shared" si="2"/>
        <v>84.0%</v>
      </c>
      <c r="H8" s="5" t="str">
        <f t="shared" si="3"/>
        <v>84.0%</v>
      </c>
    </row>
    <row r="9">
      <c r="A9" s="5">
        <v>5.0</v>
      </c>
      <c r="B9" s="5" t="s">
        <v>427</v>
      </c>
      <c r="C9" s="5">
        <v>950.0</v>
      </c>
      <c r="D9" s="6" t="s">
        <v>428</v>
      </c>
      <c r="E9" s="5" t="str">
        <f t="shared" si="4"/>
        <v>13310</v>
      </c>
      <c r="F9" s="5" t="str">
        <f t="shared" si="1"/>
        <v>1400</v>
      </c>
      <c r="G9" s="8" t="str">
        <f t="shared" si="2"/>
        <v>90.5%</v>
      </c>
      <c r="H9" s="5" t="str">
        <f t="shared" si="3"/>
        <v>90.5%</v>
      </c>
    </row>
    <row r="10">
      <c r="A10" s="5">
        <v>6.0</v>
      </c>
      <c r="B10" s="5" t="s">
        <v>429</v>
      </c>
      <c r="C10" s="5">
        <v>800.0</v>
      </c>
      <c r="D10" s="6" t="s">
        <v>430</v>
      </c>
      <c r="E10" s="5" t="str">
        <f t="shared" si="4"/>
        <v>14110</v>
      </c>
      <c r="F10" s="5" t="str">
        <f t="shared" si="1"/>
        <v>600</v>
      </c>
      <c r="G10" s="8" t="str">
        <f t="shared" si="2"/>
        <v>95.9%</v>
      </c>
      <c r="H10" s="5" t="str">
        <f t="shared" si="3"/>
        <v>95.9%</v>
      </c>
    </row>
    <row r="11">
      <c r="A11" s="5">
        <v>7.0</v>
      </c>
      <c r="B11" s="5" t="s">
        <v>429</v>
      </c>
      <c r="C11" s="5">
        <v>30.0</v>
      </c>
      <c r="D11" s="6" t="s">
        <v>431</v>
      </c>
      <c r="E11" s="5" t="str">
        <f t="shared" si="4"/>
        <v>14140</v>
      </c>
      <c r="F11" s="5" t="str">
        <f t="shared" si="1"/>
        <v>570</v>
      </c>
      <c r="G11" s="8" t="str">
        <f t="shared" si="2"/>
        <v>96.1%</v>
      </c>
      <c r="H11" s="5" t="str">
        <f t="shared" si="3"/>
        <v>96.1%</v>
      </c>
    </row>
    <row r="12">
      <c r="A12" s="5">
        <v>8.0</v>
      </c>
      <c r="B12" s="5" t="s">
        <v>432</v>
      </c>
      <c r="C12" s="5">
        <v>60.0</v>
      </c>
      <c r="D12" s="6" t="s">
        <v>433</v>
      </c>
      <c r="E12" s="5" t="str">
        <f t="shared" si="4"/>
        <v>14200</v>
      </c>
      <c r="F12" s="5" t="str">
        <f t="shared" si="1"/>
        <v>510</v>
      </c>
      <c r="G12" s="8" t="str">
        <f t="shared" si="2"/>
        <v>96.5%</v>
      </c>
      <c r="H12" s="5" t="str">
        <f t="shared" si="3"/>
        <v>96.5%</v>
      </c>
    </row>
    <row r="13">
      <c r="A13" s="5">
        <v>9.0</v>
      </c>
      <c r="B13" s="5" t="s">
        <v>434</v>
      </c>
      <c r="C13" s="5">
        <v>60.0</v>
      </c>
      <c r="D13" s="6" t="s">
        <v>435</v>
      </c>
      <c r="E13" s="5" t="str">
        <f t="shared" si="4"/>
        <v>14260</v>
      </c>
      <c r="F13" s="5" t="str">
        <f t="shared" si="1"/>
        <v>450</v>
      </c>
      <c r="G13" s="8" t="str">
        <f t="shared" si="2"/>
        <v>96.9%</v>
      </c>
      <c r="H13" s="5" t="str">
        <f t="shared" si="3"/>
        <v>96.9%</v>
      </c>
    </row>
    <row r="14">
      <c r="A14" s="5">
        <v>10.0</v>
      </c>
      <c r="B14" s="5" t="s">
        <v>436</v>
      </c>
      <c r="C14" s="5">
        <v>60.0</v>
      </c>
      <c r="D14" s="6" t="s">
        <v>437</v>
      </c>
      <c r="E14" s="5" t="str">
        <f t="shared" si="4"/>
        <v>14320</v>
      </c>
      <c r="F14" s="5" t="str">
        <f t="shared" si="1"/>
        <v>390</v>
      </c>
      <c r="G14" s="8" t="str">
        <f t="shared" si="2"/>
        <v>97.3%</v>
      </c>
      <c r="H14" s="5" t="str">
        <f t="shared" si="3"/>
        <v>97.3%</v>
      </c>
    </row>
    <row r="15">
      <c r="A15" s="2"/>
      <c r="B15" s="2"/>
      <c r="C15" s="2"/>
      <c r="D15" s="2"/>
      <c r="E15" s="2"/>
      <c r="F15" s="2"/>
      <c r="G15" s="2"/>
      <c r="H15" s="2"/>
    </row>
    <row r="16">
      <c r="A16" s="2"/>
      <c r="B16" s="2"/>
      <c r="C16" s="2"/>
      <c r="D16" s="2"/>
      <c r="E16" s="2"/>
      <c r="F16" s="2"/>
      <c r="G16" s="2"/>
      <c r="H16" s="2"/>
    </row>
    <row r="17">
      <c r="A17" s="2"/>
      <c r="B17" s="2"/>
      <c r="C17" s="2"/>
      <c r="D17" s="2"/>
      <c r="E17" s="2"/>
      <c r="F17" s="2"/>
      <c r="G17" s="2"/>
      <c r="H17" s="2"/>
    </row>
    <row r="18">
      <c r="A18" s="2"/>
      <c r="B18" s="2"/>
      <c r="C18" s="2"/>
      <c r="D18" s="2"/>
      <c r="E18" s="2"/>
      <c r="F18" s="2"/>
      <c r="G18" s="2"/>
      <c r="H18" s="2"/>
    </row>
    <row r="19">
      <c r="A19" s="2"/>
      <c r="B19" s="2"/>
      <c r="C19" s="2"/>
      <c r="D19" s="2"/>
      <c r="E19" s="2"/>
      <c r="F19" s="2"/>
      <c r="G19" s="2"/>
      <c r="H19" s="2"/>
    </row>
    <row r="20">
      <c r="A20" s="2"/>
      <c r="B20" s="2"/>
      <c r="C20" s="2"/>
      <c r="D20" s="2"/>
      <c r="E20" s="2"/>
      <c r="F20" s="2"/>
      <c r="G20" s="2"/>
      <c r="H20" s="2"/>
    </row>
    <row r="21" ht="15.75" customHeight="1">
      <c r="A21" s="2"/>
      <c r="B21" s="2"/>
      <c r="C21" s="2"/>
      <c r="D21" s="2"/>
      <c r="E21" s="2"/>
      <c r="F21" s="2"/>
      <c r="G21" s="2"/>
      <c r="H21" s="2"/>
    </row>
    <row r="22" ht="15.75" customHeight="1">
      <c r="A22" s="2"/>
      <c r="B22" s="2"/>
      <c r="C22" s="2"/>
      <c r="D22" s="2"/>
      <c r="E22" s="2"/>
      <c r="F22" s="2"/>
      <c r="G22" s="2"/>
      <c r="H22" s="2"/>
    </row>
    <row r="23" ht="15.75" customHeight="1">
      <c r="A23" s="2"/>
      <c r="B23" s="2"/>
      <c r="C23" s="2"/>
      <c r="D23" s="2"/>
      <c r="E23" s="2"/>
      <c r="F23" s="2"/>
      <c r="G23" s="2"/>
      <c r="H23" s="2"/>
    </row>
    <row r="24" ht="15.75" customHeight="1">
      <c r="A24" s="2"/>
      <c r="B24" s="2"/>
      <c r="C24" s="2"/>
      <c r="D24" s="2"/>
      <c r="E24" s="2"/>
      <c r="F24" s="2"/>
      <c r="G24" s="2"/>
      <c r="H24" s="2"/>
    </row>
    <row r="25" ht="15.75" customHeight="1">
      <c r="A25" s="2"/>
      <c r="B25" s="2"/>
      <c r="C25" s="2"/>
      <c r="D25" s="2"/>
      <c r="E25" s="2"/>
      <c r="F25" s="2"/>
      <c r="G25" s="2"/>
      <c r="H25" s="2"/>
    </row>
    <row r="26" ht="15.75" customHeight="1">
      <c r="A26" s="2"/>
      <c r="B26" s="2"/>
      <c r="C26" s="2"/>
      <c r="D26" s="2"/>
      <c r="E26" s="2"/>
      <c r="F26" s="2"/>
      <c r="G26" s="2"/>
      <c r="H26" s="2"/>
    </row>
    <row r="27" ht="15.75" customHeight="1">
      <c r="A27" s="2"/>
      <c r="B27" s="2"/>
      <c r="C27" s="2"/>
      <c r="D27" s="2"/>
      <c r="E27" s="2"/>
      <c r="F27" s="2"/>
      <c r="G27" s="2"/>
      <c r="H27" s="2"/>
    </row>
    <row r="28" ht="15.75" customHeight="1">
      <c r="A28" s="2"/>
      <c r="B28" s="2"/>
      <c r="C28" s="2"/>
      <c r="D28" s="2"/>
      <c r="E28" s="2"/>
      <c r="F28" s="2"/>
      <c r="G28" s="2"/>
      <c r="H28" s="2"/>
    </row>
    <row r="29" ht="15.75" customHeight="1">
      <c r="A29" s="2"/>
      <c r="B29" s="2"/>
      <c r="C29" s="2"/>
      <c r="D29" s="2"/>
      <c r="E29" s="2"/>
      <c r="F29" s="2"/>
      <c r="G29" s="2"/>
      <c r="H29" s="2"/>
    </row>
    <row r="30" ht="15.75" customHeight="1">
      <c r="A30" s="2"/>
      <c r="B30" s="2"/>
      <c r="C30" s="2"/>
      <c r="D30" s="2"/>
      <c r="E30" s="2"/>
      <c r="F30" s="2"/>
      <c r="G30" s="2"/>
      <c r="H30" s="2"/>
    </row>
    <row r="31" ht="15.75" customHeight="1">
      <c r="A31" s="2"/>
      <c r="B31" s="2"/>
      <c r="C31" s="2"/>
      <c r="D31" s="2"/>
      <c r="E31" s="2"/>
      <c r="F31" s="2"/>
      <c r="G31" s="2"/>
      <c r="H31" s="2"/>
    </row>
    <row r="32" ht="15.75" customHeight="1">
      <c r="A32" s="2"/>
      <c r="B32" s="2"/>
      <c r="C32" s="2"/>
      <c r="D32" s="2"/>
      <c r="E32" s="2"/>
      <c r="F32" s="2"/>
      <c r="G32" s="2"/>
      <c r="H32" s="2"/>
    </row>
    <row r="33" ht="15.75" customHeight="1">
      <c r="A33" s="2"/>
      <c r="B33" s="2"/>
      <c r="C33" s="2"/>
      <c r="D33" s="2"/>
      <c r="E33" s="2"/>
      <c r="F33" s="2"/>
      <c r="G33" s="2"/>
      <c r="H33" s="2"/>
    </row>
    <row r="34" ht="15.75" customHeight="1">
      <c r="A34" s="2"/>
      <c r="B34" s="2"/>
      <c r="C34" s="2"/>
      <c r="D34" s="2"/>
      <c r="E34" s="2"/>
      <c r="F34" s="2"/>
      <c r="G34" s="2"/>
      <c r="H34" s="2"/>
    </row>
    <row r="35" ht="15.75" customHeight="1">
      <c r="A35" s="2"/>
      <c r="B35" s="2"/>
      <c r="C35" s="2"/>
      <c r="D35" s="2"/>
      <c r="E35" s="2"/>
      <c r="F35" s="2"/>
      <c r="G35" s="2"/>
      <c r="H35" s="2"/>
    </row>
    <row r="36" ht="15.75" customHeight="1">
      <c r="A36" s="2"/>
      <c r="B36" s="2"/>
      <c r="C36" s="2"/>
      <c r="D36" s="2"/>
      <c r="E36" s="2"/>
      <c r="F36" s="2"/>
      <c r="G36" s="2"/>
      <c r="H36" s="2"/>
    </row>
    <row r="37" ht="15.75" customHeight="1">
      <c r="A37" s="2"/>
      <c r="B37" s="2"/>
      <c r="C37" s="2"/>
      <c r="D37" s="2"/>
      <c r="E37" s="2"/>
      <c r="F37" s="2"/>
      <c r="G37" s="2"/>
      <c r="H37" s="2"/>
    </row>
    <row r="38" ht="15.75" customHeight="1">
      <c r="A38" s="2"/>
      <c r="B38" s="2"/>
      <c r="C38" s="2"/>
      <c r="D38" s="2"/>
      <c r="E38" s="2"/>
      <c r="F38" s="2"/>
      <c r="G38" s="2"/>
      <c r="H38" s="2"/>
    </row>
    <row r="39" ht="15.75" customHeight="1">
      <c r="A39" s="2"/>
      <c r="B39" s="2"/>
      <c r="C39" s="2"/>
      <c r="D39" s="2"/>
      <c r="E39" s="2"/>
      <c r="F39" s="2"/>
      <c r="G39" s="2"/>
      <c r="H39" s="2"/>
    </row>
    <row r="40" ht="15.75" customHeight="1">
      <c r="A40" s="2"/>
      <c r="B40" s="2"/>
      <c r="C40" s="2"/>
      <c r="D40" s="2"/>
      <c r="E40" s="2"/>
      <c r="F40" s="2"/>
      <c r="G40" s="2"/>
      <c r="H40" s="2"/>
    </row>
    <row r="41" ht="15.75" customHeight="1">
      <c r="A41" s="2"/>
      <c r="B41" s="2"/>
      <c r="C41" s="2"/>
      <c r="D41" s="2"/>
      <c r="E41" s="2"/>
      <c r="F41" s="2"/>
      <c r="G41" s="2"/>
      <c r="H41" s="2"/>
    </row>
    <row r="42" ht="15.75" customHeight="1">
      <c r="A42" s="2"/>
      <c r="B42" s="2"/>
      <c r="C42" s="2"/>
      <c r="D42" s="2"/>
      <c r="E42" s="2"/>
      <c r="F42" s="2"/>
      <c r="G42" s="2"/>
      <c r="H42" s="2"/>
    </row>
    <row r="43" ht="15.75" customHeight="1">
      <c r="A43" s="2"/>
      <c r="B43" s="2"/>
      <c r="C43" s="2"/>
      <c r="D43" s="2"/>
      <c r="E43" s="2"/>
      <c r="F43" s="2"/>
      <c r="G43" s="2"/>
      <c r="H43" s="2"/>
    </row>
    <row r="44" ht="15.75" customHeight="1">
      <c r="A44" s="2"/>
      <c r="B44" s="2"/>
      <c r="C44" s="2"/>
      <c r="D44" s="2"/>
      <c r="E44" s="2"/>
      <c r="F44" s="2"/>
      <c r="G44" s="2"/>
      <c r="H44" s="2"/>
    </row>
    <row r="45" ht="15.75" customHeight="1">
      <c r="A45" s="2"/>
      <c r="B45" s="2"/>
      <c r="C45" s="2"/>
      <c r="D45" s="2"/>
      <c r="E45" s="2"/>
      <c r="F45" s="2"/>
      <c r="G45" s="2"/>
      <c r="H45" s="2"/>
    </row>
    <row r="46" ht="15.75" customHeight="1">
      <c r="A46" s="2"/>
      <c r="B46" s="2"/>
      <c r="C46" s="2"/>
      <c r="D46" s="2"/>
      <c r="E46" s="2"/>
      <c r="F46" s="2"/>
      <c r="G46" s="2"/>
      <c r="H46" s="2"/>
    </row>
    <row r="47" ht="15.75" customHeight="1">
      <c r="A47" s="2"/>
      <c r="B47" s="2"/>
      <c r="C47" s="2"/>
      <c r="D47" s="2"/>
      <c r="E47" s="2"/>
      <c r="F47" s="2"/>
      <c r="G47" s="2"/>
      <c r="H47" s="2"/>
    </row>
    <row r="48" ht="15.75" customHeight="1">
      <c r="A48" s="2"/>
      <c r="B48" s="2"/>
      <c r="C48" s="2"/>
      <c r="D48" s="2"/>
      <c r="E48" s="2"/>
      <c r="F48" s="2"/>
      <c r="G48" s="2"/>
      <c r="H48" s="2"/>
    </row>
    <row r="49" ht="15.75" customHeight="1">
      <c r="A49" s="2"/>
      <c r="B49" s="2"/>
      <c r="C49" s="2"/>
      <c r="D49" s="2"/>
      <c r="E49" s="2"/>
      <c r="F49" s="2"/>
      <c r="G49" s="2"/>
      <c r="H49" s="2"/>
    </row>
    <row r="50" ht="15.75" customHeight="1">
      <c r="A50" s="2"/>
      <c r="B50" s="2"/>
      <c r="C50" s="2"/>
      <c r="D50" s="2"/>
      <c r="E50" s="2"/>
      <c r="F50" s="2"/>
      <c r="G50" s="2"/>
      <c r="H50" s="2"/>
    </row>
    <row r="51" ht="15.75" customHeight="1">
      <c r="A51" s="2"/>
      <c r="B51" s="2"/>
      <c r="C51" s="2"/>
      <c r="D51" s="2"/>
      <c r="E51" s="2"/>
      <c r="F51" s="2"/>
      <c r="G51" s="2"/>
      <c r="H51" s="2"/>
    </row>
    <row r="52" ht="15.75" customHeight="1">
      <c r="A52" s="2"/>
      <c r="B52" s="2"/>
      <c r="C52" s="2"/>
      <c r="D52" s="2"/>
      <c r="E52" s="2"/>
      <c r="F52" s="2"/>
      <c r="G52" s="2"/>
      <c r="H52" s="2"/>
    </row>
    <row r="53" ht="15.75" customHeight="1">
      <c r="A53" s="2"/>
      <c r="B53" s="2"/>
      <c r="C53" s="2"/>
      <c r="D53" s="2"/>
      <c r="E53" s="2"/>
      <c r="F53" s="2"/>
      <c r="G53" s="2"/>
      <c r="H53" s="2"/>
    </row>
    <row r="54" ht="15.75" customHeight="1">
      <c r="A54" s="2"/>
      <c r="B54" s="2"/>
      <c r="C54" s="2"/>
      <c r="D54" s="2"/>
      <c r="E54" s="2"/>
      <c r="F54" s="2"/>
      <c r="G54" s="2"/>
      <c r="H54" s="2"/>
    </row>
    <row r="55" ht="15.75" customHeight="1">
      <c r="A55" s="2"/>
      <c r="B55" s="2"/>
      <c r="C55" s="2"/>
      <c r="D55" s="2"/>
      <c r="E55" s="2"/>
      <c r="F55" s="2"/>
      <c r="G55" s="2"/>
      <c r="H55" s="2"/>
    </row>
    <row r="56" ht="15.75" customHeight="1">
      <c r="A56" s="2"/>
      <c r="B56" s="2"/>
      <c r="C56" s="2"/>
      <c r="D56" s="2"/>
      <c r="E56" s="2"/>
      <c r="F56" s="2"/>
      <c r="G56" s="2"/>
      <c r="H56" s="2"/>
    </row>
    <row r="57" ht="15.75" customHeight="1">
      <c r="A57" s="2"/>
      <c r="B57" s="2"/>
      <c r="C57" s="2"/>
      <c r="D57" s="2"/>
      <c r="E57" s="2"/>
      <c r="F57" s="2"/>
      <c r="G57" s="2"/>
      <c r="H57" s="2"/>
    </row>
    <row r="58" ht="15.75" customHeight="1">
      <c r="A58" s="2"/>
      <c r="B58" s="2"/>
      <c r="C58" s="2"/>
      <c r="D58" s="2"/>
      <c r="E58" s="2"/>
      <c r="F58" s="2"/>
      <c r="G58" s="2"/>
      <c r="H58" s="2"/>
    </row>
    <row r="59" ht="15.75" customHeight="1">
      <c r="A59" s="2"/>
      <c r="B59" s="2"/>
      <c r="C59" s="2"/>
      <c r="D59" s="2"/>
      <c r="E59" s="2"/>
      <c r="F59" s="2"/>
      <c r="G59" s="2"/>
      <c r="H59" s="2"/>
    </row>
    <row r="60" ht="15.75" customHeight="1">
      <c r="A60" s="2"/>
      <c r="B60" s="2"/>
      <c r="C60" s="2"/>
      <c r="D60" s="2"/>
      <c r="E60" s="2"/>
      <c r="F60" s="2"/>
      <c r="G60" s="2"/>
      <c r="H60" s="2"/>
    </row>
    <row r="61" ht="15.75" customHeight="1">
      <c r="A61" s="2"/>
      <c r="B61" s="2"/>
      <c r="C61" s="2"/>
      <c r="D61" s="2"/>
      <c r="E61" s="2"/>
      <c r="F61" s="2"/>
      <c r="G61" s="2"/>
      <c r="H61" s="2"/>
    </row>
    <row r="62" ht="15.75" customHeight="1">
      <c r="A62" s="2"/>
      <c r="B62" s="2"/>
      <c r="C62" s="2"/>
      <c r="D62" s="2"/>
      <c r="E62" s="2"/>
      <c r="F62" s="2"/>
      <c r="G62" s="2"/>
      <c r="H62" s="2"/>
    </row>
    <row r="63" ht="15.75" customHeight="1">
      <c r="A63" s="2"/>
      <c r="B63" s="2"/>
      <c r="C63" s="2"/>
      <c r="D63" s="2"/>
      <c r="E63" s="2"/>
      <c r="F63" s="2"/>
      <c r="G63" s="2"/>
      <c r="H63" s="2"/>
    </row>
    <row r="64" ht="15.75" customHeight="1">
      <c r="A64" s="2"/>
      <c r="B64" s="2"/>
      <c r="C64" s="2"/>
      <c r="D64" s="2"/>
      <c r="E64" s="2"/>
      <c r="F64" s="2"/>
      <c r="G64" s="2"/>
      <c r="H64" s="2"/>
    </row>
    <row r="65" ht="15.75" customHeight="1">
      <c r="A65" s="2"/>
      <c r="B65" s="2"/>
      <c r="C65" s="2"/>
      <c r="D65" s="2"/>
      <c r="E65" s="2"/>
      <c r="F65" s="2"/>
      <c r="G65" s="2"/>
      <c r="H65" s="2"/>
    </row>
    <row r="66" ht="15.75" customHeight="1">
      <c r="A66" s="2"/>
      <c r="B66" s="2"/>
      <c r="C66" s="2"/>
      <c r="D66" s="2"/>
      <c r="E66" s="2"/>
      <c r="F66" s="2"/>
      <c r="G66" s="2"/>
      <c r="H66" s="2"/>
    </row>
    <row r="67" ht="15.75" customHeight="1">
      <c r="A67" s="2"/>
      <c r="B67" s="2"/>
      <c r="C67" s="2"/>
      <c r="D67" s="2"/>
      <c r="E67" s="2"/>
      <c r="F67" s="2"/>
      <c r="G67" s="2"/>
      <c r="H67" s="2"/>
    </row>
    <row r="68" ht="15.75" customHeight="1">
      <c r="A68" s="2"/>
      <c r="B68" s="2"/>
      <c r="C68" s="2"/>
      <c r="D68" s="2"/>
      <c r="E68" s="2"/>
      <c r="F68" s="2"/>
      <c r="G68" s="2"/>
      <c r="H68" s="2"/>
    </row>
    <row r="69" ht="15.75" customHeight="1">
      <c r="A69" s="2"/>
      <c r="B69" s="2"/>
      <c r="C69" s="2"/>
      <c r="D69" s="2"/>
      <c r="E69" s="2"/>
      <c r="F69" s="2"/>
      <c r="G69" s="2"/>
      <c r="H69" s="2"/>
    </row>
    <row r="70" ht="15.75" customHeight="1">
      <c r="A70" s="2"/>
      <c r="B70" s="2"/>
      <c r="C70" s="2"/>
      <c r="D70" s="2"/>
      <c r="E70" s="2"/>
      <c r="F70" s="2"/>
      <c r="G70" s="2"/>
      <c r="H70" s="2"/>
    </row>
    <row r="71" ht="15.75" customHeight="1">
      <c r="A71" s="2"/>
      <c r="B71" s="2"/>
      <c r="C71" s="2"/>
      <c r="D71" s="2"/>
      <c r="E71" s="2"/>
      <c r="F71" s="2"/>
      <c r="G71" s="2"/>
      <c r="H71" s="2"/>
    </row>
    <row r="72" ht="15.75" customHeight="1">
      <c r="A72" s="2"/>
      <c r="B72" s="2"/>
      <c r="C72" s="2"/>
      <c r="D72" s="2"/>
      <c r="E72" s="2"/>
      <c r="F72" s="2"/>
      <c r="G72" s="2"/>
      <c r="H72" s="2"/>
    </row>
    <row r="73" ht="15.75" customHeight="1">
      <c r="A73" s="2"/>
      <c r="B73" s="2"/>
      <c r="C73" s="2"/>
      <c r="D73" s="2"/>
      <c r="E73" s="2"/>
      <c r="F73" s="2"/>
      <c r="G73" s="2"/>
      <c r="H73" s="2"/>
    </row>
    <row r="74" ht="15.75" customHeight="1">
      <c r="A74" s="2"/>
      <c r="B74" s="2"/>
      <c r="C74" s="2"/>
      <c r="D74" s="2"/>
      <c r="E74" s="2"/>
      <c r="F74" s="2"/>
      <c r="G74" s="2"/>
      <c r="H74" s="2"/>
    </row>
    <row r="75" ht="15.75" customHeight="1">
      <c r="A75" s="2"/>
      <c r="B75" s="2"/>
      <c r="C75" s="2"/>
      <c r="D75" s="2"/>
      <c r="E75" s="2"/>
      <c r="F75" s="2"/>
      <c r="G75" s="2"/>
      <c r="H75" s="2"/>
    </row>
    <row r="76" ht="15.75" customHeight="1">
      <c r="A76" s="2"/>
      <c r="B76" s="2"/>
      <c r="C76" s="2"/>
      <c r="D76" s="2"/>
      <c r="E76" s="2"/>
      <c r="F76" s="2"/>
      <c r="G76" s="2"/>
      <c r="H76" s="2"/>
    </row>
    <row r="77" ht="15.75" customHeight="1">
      <c r="A77" s="2"/>
      <c r="B77" s="2"/>
      <c r="C77" s="2"/>
      <c r="D77" s="2"/>
      <c r="E77" s="2"/>
      <c r="F77" s="2"/>
      <c r="G77" s="2"/>
      <c r="H77" s="2"/>
    </row>
    <row r="78" ht="15.75" customHeight="1">
      <c r="A78" s="2"/>
      <c r="B78" s="2"/>
      <c r="C78" s="2"/>
      <c r="D78" s="2"/>
      <c r="E78" s="2"/>
      <c r="F78" s="2"/>
      <c r="G78" s="2"/>
      <c r="H78" s="2"/>
    </row>
    <row r="79" ht="15.75" customHeight="1">
      <c r="A79" s="2"/>
      <c r="B79" s="2"/>
      <c r="C79" s="2"/>
      <c r="D79" s="2"/>
      <c r="E79" s="2"/>
      <c r="F79" s="2"/>
      <c r="G79" s="2"/>
      <c r="H79" s="2"/>
    </row>
    <row r="80" ht="15.75" customHeight="1">
      <c r="A80" s="2"/>
      <c r="B80" s="2"/>
      <c r="C80" s="2"/>
      <c r="D80" s="2"/>
      <c r="E80" s="2"/>
      <c r="F80" s="2"/>
      <c r="G80" s="2"/>
      <c r="H80" s="2"/>
    </row>
    <row r="81" ht="15.75" customHeight="1">
      <c r="A81" s="2"/>
      <c r="B81" s="2"/>
      <c r="C81" s="2"/>
      <c r="D81" s="2"/>
      <c r="E81" s="2"/>
      <c r="F81" s="2"/>
      <c r="G81" s="2"/>
      <c r="H81" s="2"/>
    </row>
    <row r="82" ht="15.75" customHeight="1">
      <c r="A82" s="2"/>
      <c r="B82" s="2"/>
      <c r="C82" s="2"/>
      <c r="D82" s="2"/>
      <c r="E82" s="2"/>
      <c r="F82" s="2"/>
      <c r="G82" s="2"/>
      <c r="H82" s="2"/>
    </row>
    <row r="83" ht="15.75" customHeight="1">
      <c r="A83" s="2"/>
      <c r="B83" s="2"/>
      <c r="C83" s="2"/>
      <c r="D83" s="2"/>
      <c r="E83" s="2"/>
      <c r="F83" s="2"/>
      <c r="G83" s="2"/>
      <c r="H83" s="2"/>
    </row>
    <row r="84" ht="15.75" customHeight="1">
      <c r="A84" s="2"/>
      <c r="B84" s="2"/>
      <c r="C84" s="2"/>
      <c r="D84" s="2"/>
      <c r="E84" s="2"/>
      <c r="F84" s="2"/>
      <c r="G84" s="2"/>
      <c r="H84" s="2"/>
    </row>
    <row r="85" ht="15.75" customHeight="1">
      <c r="A85" s="2"/>
      <c r="B85" s="2"/>
      <c r="C85" s="2"/>
      <c r="D85" s="2"/>
      <c r="E85" s="2"/>
      <c r="F85" s="2"/>
      <c r="G85" s="2"/>
      <c r="H85" s="2"/>
    </row>
    <row r="86" ht="15.75" customHeight="1">
      <c r="A86" s="2"/>
      <c r="B86" s="2"/>
      <c r="C86" s="2"/>
      <c r="D86" s="2"/>
      <c r="E86" s="2"/>
      <c r="F86" s="2"/>
      <c r="G86" s="2"/>
      <c r="H86" s="2"/>
    </row>
    <row r="87" ht="15.75" customHeight="1">
      <c r="A87" s="2"/>
      <c r="B87" s="2"/>
      <c r="C87" s="2"/>
      <c r="D87" s="2"/>
      <c r="E87" s="2"/>
      <c r="F87" s="2"/>
      <c r="G87" s="2"/>
      <c r="H87" s="2"/>
    </row>
    <row r="88" ht="15.75" customHeight="1">
      <c r="A88" s="2"/>
      <c r="B88" s="2"/>
      <c r="C88" s="2"/>
      <c r="D88" s="2"/>
      <c r="E88" s="2"/>
      <c r="F88" s="2"/>
      <c r="G88" s="2"/>
      <c r="H88" s="2"/>
    </row>
    <row r="89" ht="15.75" customHeight="1">
      <c r="A89" s="2"/>
      <c r="B89" s="2"/>
      <c r="C89" s="2"/>
      <c r="D89" s="2"/>
      <c r="E89" s="2"/>
      <c r="F89" s="2"/>
      <c r="G89" s="2"/>
      <c r="H89" s="2"/>
    </row>
    <row r="90" ht="15.75" customHeight="1">
      <c r="A90" s="2"/>
      <c r="B90" s="2"/>
      <c r="C90" s="2"/>
      <c r="D90" s="2"/>
      <c r="E90" s="2"/>
      <c r="F90" s="2"/>
      <c r="G90" s="2"/>
      <c r="H90" s="2"/>
    </row>
    <row r="91" ht="15.75" customHeight="1">
      <c r="A91" s="2"/>
      <c r="B91" s="2"/>
      <c r="C91" s="2"/>
      <c r="D91" s="2"/>
      <c r="E91" s="2"/>
      <c r="F91" s="2"/>
      <c r="G91" s="2"/>
      <c r="H91" s="2"/>
    </row>
    <row r="92" ht="15.75" customHeight="1">
      <c r="A92" s="2"/>
      <c r="B92" s="2"/>
      <c r="C92" s="2"/>
      <c r="D92" s="2"/>
      <c r="E92" s="2"/>
      <c r="F92" s="2"/>
      <c r="G92" s="2"/>
      <c r="H92" s="2"/>
    </row>
    <row r="93" ht="15.75" customHeight="1">
      <c r="A93" s="2"/>
      <c r="B93" s="2"/>
      <c r="C93" s="2"/>
      <c r="D93" s="2"/>
      <c r="E93" s="2"/>
      <c r="F93" s="2"/>
      <c r="G93" s="2"/>
      <c r="H93" s="2"/>
    </row>
    <row r="94" ht="15.75" customHeight="1">
      <c r="A94" s="2"/>
      <c r="B94" s="2"/>
      <c r="C94" s="2"/>
      <c r="D94" s="2"/>
      <c r="E94" s="2"/>
      <c r="F94" s="2"/>
      <c r="G94" s="2"/>
      <c r="H94" s="2"/>
    </row>
    <row r="95" ht="15.75" customHeight="1">
      <c r="A95" s="2"/>
      <c r="B95" s="2"/>
      <c r="C95" s="2"/>
      <c r="D95" s="2"/>
      <c r="E95" s="2"/>
      <c r="F95" s="2"/>
      <c r="G95" s="2"/>
      <c r="H95" s="2"/>
    </row>
    <row r="96" ht="15.75" customHeight="1">
      <c r="A96" s="2"/>
      <c r="B96" s="2"/>
      <c r="C96" s="2"/>
      <c r="D96" s="2"/>
      <c r="E96" s="2"/>
      <c r="F96" s="2"/>
      <c r="G96" s="2"/>
      <c r="H96" s="2"/>
    </row>
    <row r="97" ht="15.75" customHeight="1">
      <c r="A97" s="2"/>
      <c r="B97" s="2"/>
      <c r="C97" s="2"/>
      <c r="D97" s="2"/>
      <c r="E97" s="2"/>
      <c r="F97" s="2"/>
      <c r="G97" s="2"/>
      <c r="H97" s="2"/>
    </row>
    <row r="98" ht="15.75" customHeight="1">
      <c r="A98" s="2"/>
      <c r="B98" s="2"/>
      <c r="C98" s="2"/>
      <c r="D98" s="2"/>
      <c r="E98" s="2"/>
      <c r="F98" s="2"/>
      <c r="G98" s="2"/>
      <c r="H98" s="2"/>
    </row>
    <row r="99" ht="15.75" customHeight="1">
      <c r="A99" s="2"/>
      <c r="B99" s="2"/>
      <c r="C99" s="2"/>
      <c r="D99" s="2"/>
      <c r="E99" s="2"/>
      <c r="F99" s="2"/>
      <c r="G99" s="2"/>
      <c r="H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</row>
  </sheetData>
  <printOptions/>
  <pageMargins bottom="1.0" footer="0.0" header="0.0" left="0.75" right="0.75" top="1.0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4.0"/>
    <col customWidth="1" min="3" max="3" width="22.0"/>
    <col customWidth="1" min="4" max="4" width="30.0"/>
    <col customWidth="1" min="5" max="5" width="18.0"/>
    <col customWidth="1" min="6" max="6" width="13.0"/>
    <col customWidth="1" min="7" max="7" width="20.0"/>
    <col customWidth="1" min="8" max="8" width="24.0"/>
  </cols>
  <sheetData>
    <row r="1">
      <c r="A1" s="18" t="s">
        <v>438</v>
      </c>
      <c r="B1" s="2"/>
      <c r="C1" s="2"/>
      <c r="D1" s="2"/>
      <c r="E1" s="2"/>
      <c r="F1" s="2"/>
      <c r="G1" s="2"/>
      <c r="H1" s="2"/>
    </row>
    <row r="2">
      <c r="A2" s="19" t="s">
        <v>439</v>
      </c>
      <c r="B2" s="2"/>
      <c r="C2" s="2"/>
      <c r="D2" s="2"/>
      <c r="E2" s="2"/>
      <c r="F2" s="2"/>
      <c r="G2" s="2"/>
      <c r="H2" s="2"/>
    </row>
    <row r="3">
      <c r="A3" s="2"/>
      <c r="B3" s="2"/>
      <c r="C3" s="2"/>
      <c r="D3" s="2"/>
      <c r="E3" s="2"/>
      <c r="F3" s="2"/>
      <c r="G3" s="2"/>
      <c r="H3" s="2"/>
    </row>
    <row r="4">
      <c r="A4" s="20" t="s">
        <v>81</v>
      </c>
      <c r="B4" s="20" t="s">
        <v>82</v>
      </c>
      <c r="C4" s="20" t="s">
        <v>83</v>
      </c>
      <c r="D4" s="20" t="s">
        <v>84</v>
      </c>
      <c r="E4" s="20" t="s">
        <v>85</v>
      </c>
      <c r="F4" s="20" t="s">
        <v>86</v>
      </c>
      <c r="G4" s="20" t="s">
        <v>87</v>
      </c>
      <c r="H4" s="20" t="s">
        <v>9</v>
      </c>
    </row>
    <row r="5">
      <c r="A5" s="5">
        <v>1.0</v>
      </c>
      <c r="B5" s="5" t="s">
        <v>56</v>
      </c>
      <c r="C5" s="5">
        <v>60.0</v>
      </c>
      <c r="D5" s="6" t="s">
        <v>440</v>
      </c>
      <c r="E5" s="5" t="str">
        <f>C5</f>
        <v>60</v>
      </c>
      <c r="F5" s="5" t="str">
        <f t="shared" ref="F5:F6" si="1">600-E5</f>
        <v>540</v>
      </c>
      <c r="G5" s="8" t="str">
        <f t="shared" ref="G5:G6" si="2">E5/600</f>
        <v>10.0%</v>
      </c>
      <c r="H5" s="5" t="str">
        <f t="shared" ref="H5:H6" si="3">IF(G5&gt;=1, "100.0% (Package Over)", TEXT(MIN(G5*100, 99.9), "0.0") &amp; "%")</f>
        <v>10.0%</v>
      </c>
    </row>
    <row r="6">
      <c r="A6" s="5">
        <v>2.0</v>
      </c>
      <c r="B6" s="5" t="s">
        <v>244</v>
      </c>
      <c r="C6" s="5">
        <v>60.0</v>
      </c>
      <c r="D6" s="6" t="s">
        <v>441</v>
      </c>
      <c r="E6" s="5" t="str">
        <f>E5+C6</f>
        <v>120</v>
      </c>
      <c r="F6" s="5" t="str">
        <f t="shared" si="1"/>
        <v>480</v>
      </c>
      <c r="G6" s="8" t="str">
        <f t="shared" si="2"/>
        <v>20.0%</v>
      </c>
      <c r="H6" s="5" t="str">
        <f t="shared" si="3"/>
        <v>20.0%</v>
      </c>
    </row>
    <row r="7">
      <c r="A7" s="2"/>
      <c r="B7" s="2"/>
      <c r="C7" s="2"/>
      <c r="D7" s="2"/>
      <c r="E7" s="2"/>
      <c r="F7" s="2"/>
      <c r="G7" s="2"/>
      <c r="H7" s="2"/>
    </row>
    <row r="8">
      <c r="A8" s="2"/>
      <c r="B8" s="2"/>
      <c r="C8" s="2"/>
      <c r="D8" s="2"/>
      <c r="E8" s="2"/>
      <c r="F8" s="2"/>
      <c r="G8" s="2"/>
      <c r="H8" s="2"/>
    </row>
    <row r="9">
      <c r="A9" s="2"/>
      <c r="B9" s="2"/>
      <c r="C9" s="2"/>
      <c r="D9" s="2"/>
      <c r="E9" s="2"/>
      <c r="F9" s="2"/>
      <c r="G9" s="2"/>
      <c r="H9" s="2"/>
    </row>
    <row r="10">
      <c r="A10" s="2"/>
      <c r="B10" s="2"/>
      <c r="C10" s="2"/>
      <c r="D10" s="2"/>
      <c r="E10" s="2"/>
      <c r="F10" s="2"/>
      <c r="G10" s="2"/>
      <c r="H10" s="2"/>
    </row>
    <row r="11">
      <c r="A11" s="2"/>
      <c r="B11" s="2"/>
      <c r="C11" s="2"/>
      <c r="D11" s="2"/>
      <c r="E11" s="2"/>
      <c r="F11" s="2"/>
      <c r="G11" s="2"/>
      <c r="H11" s="2"/>
    </row>
    <row r="12">
      <c r="A12" s="2"/>
      <c r="B12" s="2"/>
      <c r="C12" s="2"/>
      <c r="D12" s="2"/>
      <c r="E12" s="2"/>
      <c r="F12" s="2"/>
      <c r="G12" s="2"/>
      <c r="H12" s="2"/>
    </row>
    <row r="13">
      <c r="A13" s="2"/>
      <c r="B13" s="2"/>
      <c r="C13" s="2"/>
      <c r="D13" s="2"/>
      <c r="E13" s="2"/>
      <c r="F13" s="2"/>
      <c r="G13" s="2"/>
      <c r="H13" s="2"/>
    </row>
    <row r="14">
      <c r="A14" s="2"/>
      <c r="B14" s="2"/>
      <c r="C14" s="2"/>
      <c r="D14" s="2"/>
      <c r="E14" s="2"/>
      <c r="F14" s="2"/>
      <c r="G14" s="2"/>
      <c r="H14" s="2"/>
    </row>
    <row r="15">
      <c r="A15" s="2"/>
      <c r="B15" s="2"/>
      <c r="C15" s="2"/>
      <c r="D15" s="2"/>
      <c r="E15" s="2"/>
      <c r="F15" s="2"/>
      <c r="G15" s="2"/>
      <c r="H15" s="2"/>
    </row>
    <row r="16">
      <c r="A16" s="2"/>
      <c r="B16" s="2"/>
      <c r="C16" s="2"/>
      <c r="D16" s="2"/>
      <c r="E16" s="2"/>
      <c r="F16" s="2"/>
      <c r="G16" s="2"/>
      <c r="H16" s="2"/>
    </row>
    <row r="17">
      <c r="A17" s="2"/>
      <c r="B17" s="2"/>
      <c r="C17" s="2"/>
      <c r="D17" s="2"/>
      <c r="E17" s="2"/>
      <c r="F17" s="2"/>
      <c r="G17" s="2"/>
      <c r="H17" s="2"/>
    </row>
    <row r="18">
      <c r="A18" s="2"/>
      <c r="B18" s="2"/>
      <c r="C18" s="2"/>
      <c r="D18" s="2"/>
      <c r="E18" s="2"/>
      <c r="F18" s="2"/>
      <c r="G18" s="2"/>
      <c r="H18" s="2"/>
    </row>
    <row r="19">
      <c r="A19" s="2"/>
      <c r="B19" s="2"/>
      <c r="C19" s="2"/>
      <c r="D19" s="2"/>
      <c r="E19" s="2"/>
      <c r="F19" s="2"/>
      <c r="G19" s="2"/>
      <c r="H19" s="2"/>
    </row>
    <row r="20">
      <c r="A20" s="2"/>
      <c r="B20" s="2"/>
      <c r="C20" s="2"/>
      <c r="D20" s="2"/>
      <c r="E20" s="2"/>
      <c r="F20" s="2"/>
      <c r="G20" s="2"/>
      <c r="H20" s="2"/>
    </row>
    <row r="21" ht="15.75" customHeight="1">
      <c r="A21" s="2"/>
      <c r="B21" s="2"/>
      <c r="C21" s="2"/>
      <c r="D21" s="2"/>
      <c r="E21" s="2"/>
      <c r="F21" s="2"/>
      <c r="G21" s="2"/>
      <c r="H21" s="2"/>
    </row>
    <row r="22" ht="15.75" customHeight="1">
      <c r="A22" s="2"/>
      <c r="B22" s="2"/>
      <c r="C22" s="2"/>
      <c r="D22" s="2"/>
      <c r="E22" s="2"/>
      <c r="F22" s="2"/>
      <c r="G22" s="2"/>
      <c r="H22" s="2"/>
    </row>
    <row r="23" ht="15.75" customHeight="1">
      <c r="A23" s="2"/>
      <c r="B23" s="2"/>
      <c r="C23" s="2"/>
      <c r="D23" s="2"/>
      <c r="E23" s="2"/>
      <c r="F23" s="2"/>
      <c r="G23" s="2"/>
      <c r="H23" s="2"/>
    </row>
    <row r="24" ht="15.75" customHeight="1">
      <c r="A24" s="2"/>
      <c r="B24" s="2"/>
      <c r="C24" s="2"/>
      <c r="D24" s="2"/>
      <c r="E24" s="2"/>
      <c r="F24" s="2"/>
      <c r="G24" s="2"/>
      <c r="H24" s="2"/>
    </row>
    <row r="25" ht="15.75" customHeight="1">
      <c r="A25" s="2"/>
      <c r="B25" s="2"/>
      <c r="C25" s="2"/>
      <c r="D25" s="2"/>
      <c r="E25" s="2"/>
      <c r="F25" s="2"/>
      <c r="G25" s="2"/>
      <c r="H25" s="2"/>
    </row>
    <row r="26" ht="15.75" customHeight="1">
      <c r="A26" s="2"/>
      <c r="B26" s="2"/>
      <c r="C26" s="2"/>
      <c r="D26" s="2"/>
      <c r="E26" s="2"/>
      <c r="F26" s="2"/>
      <c r="G26" s="2"/>
      <c r="H26" s="2"/>
    </row>
    <row r="27" ht="15.75" customHeight="1">
      <c r="A27" s="2"/>
      <c r="B27" s="2"/>
      <c r="C27" s="2"/>
      <c r="D27" s="2"/>
      <c r="E27" s="2"/>
      <c r="F27" s="2"/>
      <c r="G27" s="2"/>
      <c r="H27" s="2"/>
    </row>
    <row r="28" ht="15.75" customHeight="1">
      <c r="A28" s="2"/>
      <c r="B28" s="2"/>
      <c r="C28" s="2"/>
      <c r="D28" s="2"/>
      <c r="E28" s="2"/>
      <c r="F28" s="2"/>
      <c r="G28" s="2"/>
      <c r="H28" s="2"/>
    </row>
    <row r="29" ht="15.75" customHeight="1">
      <c r="A29" s="2"/>
      <c r="B29" s="2"/>
      <c r="C29" s="2"/>
      <c r="D29" s="2"/>
      <c r="E29" s="2"/>
      <c r="F29" s="2"/>
      <c r="G29" s="2"/>
      <c r="H29" s="2"/>
    </row>
    <row r="30" ht="15.75" customHeight="1">
      <c r="A30" s="2"/>
      <c r="B30" s="2"/>
      <c r="C30" s="2"/>
      <c r="D30" s="2"/>
      <c r="E30" s="2"/>
      <c r="F30" s="2"/>
      <c r="G30" s="2"/>
      <c r="H30" s="2"/>
    </row>
    <row r="31" ht="15.75" customHeight="1">
      <c r="A31" s="2"/>
      <c r="B31" s="2"/>
      <c r="C31" s="2"/>
      <c r="D31" s="2"/>
      <c r="E31" s="2"/>
      <c r="F31" s="2"/>
      <c r="G31" s="2"/>
      <c r="H31" s="2"/>
    </row>
    <row r="32" ht="15.75" customHeight="1">
      <c r="A32" s="2"/>
      <c r="B32" s="2"/>
      <c r="C32" s="2"/>
      <c r="D32" s="2"/>
      <c r="E32" s="2"/>
      <c r="F32" s="2"/>
      <c r="G32" s="2"/>
      <c r="H32" s="2"/>
    </row>
    <row r="33" ht="15.75" customHeight="1">
      <c r="A33" s="2"/>
      <c r="B33" s="2"/>
      <c r="C33" s="2"/>
      <c r="D33" s="2"/>
      <c r="E33" s="2"/>
      <c r="F33" s="2"/>
      <c r="G33" s="2"/>
      <c r="H33" s="2"/>
    </row>
    <row r="34" ht="15.75" customHeight="1">
      <c r="A34" s="2"/>
      <c r="B34" s="2"/>
      <c r="C34" s="2"/>
      <c r="D34" s="2"/>
      <c r="E34" s="2"/>
      <c r="F34" s="2"/>
      <c r="G34" s="2"/>
      <c r="H34" s="2"/>
    </row>
    <row r="35" ht="15.75" customHeight="1">
      <c r="A35" s="2"/>
      <c r="B35" s="2"/>
      <c r="C35" s="2"/>
      <c r="D35" s="2"/>
      <c r="E35" s="2"/>
      <c r="F35" s="2"/>
      <c r="G35" s="2"/>
      <c r="H35" s="2"/>
    </row>
    <row r="36" ht="15.75" customHeight="1">
      <c r="A36" s="2"/>
      <c r="B36" s="2"/>
      <c r="C36" s="2"/>
      <c r="D36" s="2"/>
      <c r="E36" s="2"/>
      <c r="F36" s="2"/>
      <c r="G36" s="2"/>
      <c r="H36" s="2"/>
    </row>
    <row r="37" ht="15.75" customHeight="1">
      <c r="A37" s="2"/>
      <c r="B37" s="2"/>
      <c r="C37" s="2"/>
      <c r="D37" s="2"/>
      <c r="E37" s="2"/>
      <c r="F37" s="2"/>
      <c r="G37" s="2"/>
      <c r="H37" s="2"/>
    </row>
    <row r="38" ht="15.75" customHeight="1">
      <c r="A38" s="2"/>
      <c r="B38" s="2"/>
      <c r="C38" s="2"/>
      <c r="D38" s="2"/>
      <c r="E38" s="2"/>
      <c r="F38" s="2"/>
      <c r="G38" s="2"/>
      <c r="H38" s="2"/>
    </row>
    <row r="39" ht="15.75" customHeight="1">
      <c r="A39" s="2"/>
      <c r="B39" s="2"/>
      <c r="C39" s="2"/>
      <c r="D39" s="2"/>
      <c r="E39" s="2"/>
      <c r="F39" s="2"/>
      <c r="G39" s="2"/>
      <c r="H39" s="2"/>
    </row>
    <row r="40" ht="15.75" customHeight="1">
      <c r="A40" s="2"/>
      <c r="B40" s="2"/>
      <c r="C40" s="2"/>
      <c r="D40" s="2"/>
      <c r="E40" s="2"/>
      <c r="F40" s="2"/>
      <c r="G40" s="2"/>
      <c r="H40" s="2"/>
    </row>
    <row r="41" ht="15.75" customHeight="1">
      <c r="A41" s="2"/>
      <c r="B41" s="2"/>
      <c r="C41" s="2"/>
      <c r="D41" s="2"/>
      <c r="E41" s="2"/>
      <c r="F41" s="2"/>
      <c r="G41" s="2"/>
      <c r="H41" s="2"/>
    </row>
    <row r="42" ht="15.75" customHeight="1">
      <c r="A42" s="2"/>
      <c r="B42" s="2"/>
      <c r="C42" s="2"/>
      <c r="D42" s="2"/>
      <c r="E42" s="2"/>
      <c r="F42" s="2"/>
      <c r="G42" s="2"/>
      <c r="H42" s="2"/>
    </row>
    <row r="43" ht="15.75" customHeight="1">
      <c r="A43" s="2"/>
      <c r="B43" s="2"/>
      <c r="C43" s="2"/>
      <c r="D43" s="2"/>
      <c r="E43" s="2"/>
      <c r="F43" s="2"/>
      <c r="G43" s="2"/>
      <c r="H43" s="2"/>
    </row>
    <row r="44" ht="15.75" customHeight="1">
      <c r="A44" s="2"/>
      <c r="B44" s="2"/>
      <c r="C44" s="2"/>
      <c r="D44" s="2"/>
      <c r="E44" s="2"/>
      <c r="F44" s="2"/>
      <c r="G44" s="2"/>
      <c r="H44" s="2"/>
    </row>
    <row r="45" ht="15.75" customHeight="1">
      <c r="A45" s="2"/>
      <c r="B45" s="2"/>
      <c r="C45" s="2"/>
      <c r="D45" s="2"/>
      <c r="E45" s="2"/>
      <c r="F45" s="2"/>
      <c r="G45" s="2"/>
      <c r="H45" s="2"/>
    </row>
    <row r="46" ht="15.75" customHeight="1">
      <c r="A46" s="2"/>
      <c r="B46" s="2"/>
      <c r="C46" s="2"/>
      <c r="D46" s="2"/>
      <c r="E46" s="2"/>
      <c r="F46" s="2"/>
      <c r="G46" s="2"/>
      <c r="H46" s="2"/>
    </row>
    <row r="47" ht="15.75" customHeight="1">
      <c r="A47" s="2"/>
      <c r="B47" s="2"/>
      <c r="C47" s="2"/>
      <c r="D47" s="2"/>
      <c r="E47" s="2"/>
      <c r="F47" s="2"/>
      <c r="G47" s="2"/>
      <c r="H47" s="2"/>
    </row>
    <row r="48" ht="15.75" customHeight="1">
      <c r="A48" s="2"/>
      <c r="B48" s="2"/>
      <c r="C48" s="2"/>
      <c r="D48" s="2"/>
      <c r="E48" s="2"/>
      <c r="F48" s="2"/>
      <c r="G48" s="2"/>
      <c r="H48" s="2"/>
    </row>
    <row r="49" ht="15.75" customHeight="1">
      <c r="A49" s="2"/>
      <c r="B49" s="2"/>
      <c r="C49" s="2"/>
      <c r="D49" s="2"/>
      <c r="E49" s="2"/>
      <c r="F49" s="2"/>
      <c r="G49" s="2"/>
      <c r="H49" s="2"/>
    </row>
    <row r="50" ht="15.75" customHeight="1">
      <c r="A50" s="2"/>
      <c r="B50" s="2"/>
      <c r="C50" s="2"/>
      <c r="D50" s="2"/>
      <c r="E50" s="2"/>
      <c r="F50" s="2"/>
      <c r="G50" s="2"/>
      <c r="H50" s="2"/>
    </row>
    <row r="51" ht="15.75" customHeight="1">
      <c r="A51" s="2"/>
      <c r="B51" s="2"/>
      <c r="C51" s="2"/>
      <c r="D51" s="2"/>
      <c r="E51" s="2"/>
      <c r="F51" s="2"/>
      <c r="G51" s="2"/>
      <c r="H51" s="2"/>
    </row>
    <row r="52" ht="15.75" customHeight="1">
      <c r="A52" s="2"/>
      <c r="B52" s="2"/>
      <c r="C52" s="2"/>
      <c r="D52" s="2"/>
      <c r="E52" s="2"/>
      <c r="F52" s="2"/>
      <c r="G52" s="2"/>
      <c r="H52" s="2"/>
    </row>
    <row r="53" ht="15.75" customHeight="1">
      <c r="A53" s="2"/>
      <c r="B53" s="2"/>
      <c r="C53" s="2"/>
      <c r="D53" s="2"/>
      <c r="E53" s="2"/>
      <c r="F53" s="2"/>
      <c r="G53" s="2"/>
      <c r="H53" s="2"/>
    </row>
    <row r="54" ht="15.75" customHeight="1">
      <c r="A54" s="2"/>
      <c r="B54" s="2"/>
      <c r="C54" s="2"/>
      <c r="D54" s="2"/>
      <c r="E54" s="2"/>
      <c r="F54" s="2"/>
      <c r="G54" s="2"/>
      <c r="H54" s="2"/>
    </row>
    <row r="55" ht="15.75" customHeight="1">
      <c r="A55" s="2"/>
      <c r="B55" s="2"/>
      <c r="C55" s="2"/>
      <c r="D55" s="2"/>
      <c r="E55" s="2"/>
      <c r="F55" s="2"/>
      <c r="G55" s="2"/>
      <c r="H55" s="2"/>
    </row>
    <row r="56" ht="15.75" customHeight="1">
      <c r="A56" s="2"/>
      <c r="B56" s="2"/>
      <c r="C56" s="2"/>
      <c r="D56" s="2"/>
      <c r="E56" s="2"/>
      <c r="F56" s="2"/>
      <c r="G56" s="2"/>
      <c r="H56" s="2"/>
    </row>
    <row r="57" ht="15.75" customHeight="1">
      <c r="A57" s="2"/>
      <c r="B57" s="2"/>
      <c r="C57" s="2"/>
      <c r="D57" s="2"/>
      <c r="E57" s="2"/>
      <c r="F57" s="2"/>
      <c r="G57" s="2"/>
      <c r="H57" s="2"/>
    </row>
    <row r="58" ht="15.75" customHeight="1">
      <c r="A58" s="2"/>
      <c r="B58" s="2"/>
      <c r="C58" s="2"/>
      <c r="D58" s="2"/>
      <c r="E58" s="2"/>
      <c r="F58" s="2"/>
      <c r="G58" s="2"/>
      <c r="H58" s="2"/>
    </row>
    <row r="59" ht="15.75" customHeight="1">
      <c r="A59" s="2"/>
      <c r="B59" s="2"/>
      <c r="C59" s="2"/>
      <c r="D59" s="2"/>
      <c r="E59" s="2"/>
      <c r="F59" s="2"/>
      <c r="G59" s="2"/>
      <c r="H59" s="2"/>
    </row>
    <row r="60" ht="15.75" customHeight="1">
      <c r="A60" s="2"/>
      <c r="B60" s="2"/>
      <c r="C60" s="2"/>
      <c r="D60" s="2"/>
      <c r="E60" s="2"/>
      <c r="F60" s="2"/>
      <c r="G60" s="2"/>
      <c r="H60" s="2"/>
    </row>
    <row r="61" ht="15.75" customHeight="1">
      <c r="A61" s="2"/>
      <c r="B61" s="2"/>
      <c r="C61" s="2"/>
      <c r="D61" s="2"/>
      <c r="E61" s="2"/>
      <c r="F61" s="2"/>
      <c r="G61" s="2"/>
      <c r="H61" s="2"/>
    </row>
    <row r="62" ht="15.75" customHeight="1">
      <c r="A62" s="2"/>
      <c r="B62" s="2"/>
      <c r="C62" s="2"/>
      <c r="D62" s="2"/>
      <c r="E62" s="2"/>
      <c r="F62" s="2"/>
      <c r="G62" s="2"/>
      <c r="H62" s="2"/>
    </row>
    <row r="63" ht="15.75" customHeight="1">
      <c r="A63" s="2"/>
      <c r="B63" s="2"/>
      <c r="C63" s="2"/>
      <c r="D63" s="2"/>
      <c r="E63" s="2"/>
      <c r="F63" s="2"/>
      <c r="G63" s="2"/>
      <c r="H63" s="2"/>
    </row>
    <row r="64" ht="15.75" customHeight="1">
      <c r="A64" s="2"/>
      <c r="B64" s="2"/>
      <c r="C64" s="2"/>
      <c r="D64" s="2"/>
      <c r="E64" s="2"/>
      <c r="F64" s="2"/>
      <c r="G64" s="2"/>
      <c r="H64" s="2"/>
    </row>
    <row r="65" ht="15.75" customHeight="1">
      <c r="A65" s="2"/>
      <c r="B65" s="2"/>
      <c r="C65" s="2"/>
      <c r="D65" s="2"/>
      <c r="E65" s="2"/>
      <c r="F65" s="2"/>
      <c r="G65" s="2"/>
      <c r="H65" s="2"/>
    </row>
    <row r="66" ht="15.75" customHeight="1">
      <c r="A66" s="2"/>
      <c r="B66" s="2"/>
      <c r="C66" s="2"/>
      <c r="D66" s="2"/>
      <c r="E66" s="2"/>
      <c r="F66" s="2"/>
      <c r="G66" s="2"/>
      <c r="H66" s="2"/>
    </row>
    <row r="67" ht="15.75" customHeight="1">
      <c r="A67" s="2"/>
      <c r="B67" s="2"/>
      <c r="C67" s="2"/>
      <c r="D67" s="2"/>
      <c r="E67" s="2"/>
      <c r="F67" s="2"/>
      <c r="G67" s="2"/>
      <c r="H67" s="2"/>
    </row>
    <row r="68" ht="15.75" customHeight="1">
      <c r="A68" s="2"/>
      <c r="B68" s="2"/>
      <c r="C68" s="2"/>
      <c r="D68" s="2"/>
      <c r="E68" s="2"/>
      <c r="F68" s="2"/>
      <c r="G68" s="2"/>
      <c r="H68" s="2"/>
    </row>
    <row r="69" ht="15.75" customHeight="1">
      <c r="A69" s="2"/>
      <c r="B69" s="2"/>
      <c r="C69" s="2"/>
      <c r="D69" s="2"/>
      <c r="E69" s="2"/>
      <c r="F69" s="2"/>
      <c r="G69" s="2"/>
      <c r="H69" s="2"/>
    </row>
    <row r="70" ht="15.75" customHeight="1">
      <c r="A70" s="2"/>
      <c r="B70" s="2"/>
      <c r="C70" s="2"/>
      <c r="D70" s="2"/>
      <c r="E70" s="2"/>
      <c r="F70" s="2"/>
      <c r="G70" s="2"/>
      <c r="H70" s="2"/>
    </row>
    <row r="71" ht="15.75" customHeight="1">
      <c r="A71" s="2"/>
      <c r="B71" s="2"/>
      <c r="C71" s="2"/>
      <c r="D71" s="2"/>
      <c r="E71" s="2"/>
      <c r="F71" s="2"/>
      <c r="G71" s="2"/>
      <c r="H71" s="2"/>
    </row>
    <row r="72" ht="15.75" customHeight="1">
      <c r="A72" s="2"/>
      <c r="B72" s="2"/>
      <c r="C72" s="2"/>
      <c r="D72" s="2"/>
      <c r="E72" s="2"/>
      <c r="F72" s="2"/>
      <c r="G72" s="2"/>
      <c r="H72" s="2"/>
    </row>
    <row r="73" ht="15.75" customHeight="1">
      <c r="A73" s="2"/>
      <c r="B73" s="2"/>
      <c r="C73" s="2"/>
      <c r="D73" s="2"/>
      <c r="E73" s="2"/>
      <c r="F73" s="2"/>
      <c r="G73" s="2"/>
      <c r="H73" s="2"/>
    </row>
    <row r="74" ht="15.75" customHeight="1">
      <c r="A74" s="2"/>
      <c r="B74" s="2"/>
      <c r="C74" s="2"/>
      <c r="D74" s="2"/>
      <c r="E74" s="2"/>
      <c r="F74" s="2"/>
      <c r="G74" s="2"/>
      <c r="H74" s="2"/>
    </row>
    <row r="75" ht="15.75" customHeight="1">
      <c r="A75" s="2"/>
      <c r="B75" s="2"/>
      <c r="C75" s="2"/>
      <c r="D75" s="2"/>
      <c r="E75" s="2"/>
      <c r="F75" s="2"/>
      <c r="G75" s="2"/>
      <c r="H75" s="2"/>
    </row>
    <row r="76" ht="15.75" customHeight="1">
      <c r="A76" s="2"/>
      <c r="B76" s="2"/>
      <c r="C76" s="2"/>
      <c r="D76" s="2"/>
      <c r="E76" s="2"/>
      <c r="F76" s="2"/>
      <c r="G76" s="2"/>
      <c r="H76" s="2"/>
    </row>
    <row r="77" ht="15.75" customHeight="1">
      <c r="A77" s="2"/>
      <c r="B77" s="2"/>
      <c r="C77" s="2"/>
      <c r="D77" s="2"/>
      <c r="E77" s="2"/>
      <c r="F77" s="2"/>
      <c r="G77" s="2"/>
      <c r="H77" s="2"/>
    </row>
    <row r="78" ht="15.75" customHeight="1">
      <c r="A78" s="2"/>
      <c r="B78" s="2"/>
      <c r="C78" s="2"/>
      <c r="D78" s="2"/>
      <c r="E78" s="2"/>
      <c r="F78" s="2"/>
      <c r="G78" s="2"/>
      <c r="H78" s="2"/>
    </row>
    <row r="79" ht="15.75" customHeight="1">
      <c r="A79" s="2"/>
      <c r="B79" s="2"/>
      <c r="C79" s="2"/>
      <c r="D79" s="2"/>
      <c r="E79" s="2"/>
      <c r="F79" s="2"/>
      <c r="G79" s="2"/>
      <c r="H79" s="2"/>
    </row>
    <row r="80" ht="15.75" customHeight="1">
      <c r="A80" s="2"/>
      <c r="B80" s="2"/>
      <c r="C80" s="2"/>
      <c r="D80" s="2"/>
      <c r="E80" s="2"/>
      <c r="F80" s="2"/>
      <c r="G80" s="2"/>
      <c r="H80" s="2"/>
    </row>
    <row r="81" ht="15.75" customHeight="1">
      <c r="A81" s="2"/>
      <c r="B81" s="2"/>
      <c r="C81" s="2"/>
      <c r="D81" s="2"/>
      <c r="E81" s="2"/>
      <c r="F81" s="2"/>
      <c r="G81" s="2"/>
      <c r="H81" s="2"/>
    </row>
    <row r="82" ht="15.75" customHeight="1">
      <c r="A82" s="2"/>
      <c r="B82" s="2"/>
      <c r="C82" s="2"/>
      <c r="D82" s="2"/>
      <c r="E82" s="2"/>
      <c r="F82" s="2"/>
      <c r="G82" s="2"/>
      <c r="H82" s="2"/>
    </row>
    <row r="83" ht="15.75" customHeight="1">
      <c r="A83" s="2"/>
      <c r="B83" s="2"/>
      <c r="C83" s="2"/>
      <c r="D83" s="2"/>
      <c r="E83" s="2"/>
      <c r="F83" s="2"/>
      <c r="G83" s="2"/>
      <c r="H83" s="2"/>
    </row>
    <row r="84" ht="15.75" customHeight="1">
      <c r="A84" s="2"/>
      <c r="B84" s="2"/>
      <c r="C84" s="2"/>
      <c r="D84" s="2"/>
      <c r="E84" s="2"/>
      <c r="F84" s="2"/>
      <c r="G84" s="2"/>
      <c r="H84" s="2"/>
    </row>
    <row r="85" ht="15.75" customHeight="1">
      <c r="A85" s="2"/>
      <c r="B85" s="2"/>
      <c r="C85" s="2"/>
      <c r="D85" s="2"/>
      <c r="E85" s="2"/>
      <c r="F85" s="2"/>
      <c r="G85" s="2"/>
      <c r="H85" s="2"/>
    </row>
    <row r="86" ht="15.75" customHeight="1">
      <c r="A86" s="2"/>
      <c r="B86" s="2"/>
      <c r="C86" s="2"/>
      <c r="D86" s="2"/>
      <c r="E86" s="2"/>
      <c r="F86" s="2"/>
      <c r="G86" s="2"/>
      <c r="H86" s="2"/>
    </row>
    <row r="87" ht="15.75" customHeight="1">
      <c r="A87" s="2"/>
      <c r="B87" s="2"/>
      <c r="C87" s="2"/>
      <c r="D87" s="2"/>
      <c r="E87" s="2"/>
      <c r="F87" s="2"/>
      <c r="G87" s="2"/>
      <c r="H87" s="2"/>
    </row>
    <row r="88" ht="15.75" customHeight="1">
      <c r="A88" s="2"/>
      <c r="B88" s="2"/>
      <c r="C88" s="2"/>
      <c r="D88" s="2"/>
      <c r="E88" s="2"/>
      <c r="F88" s="2"/>
      <c r="G88" s="2"/>
      <c r="H88" s="2"/>
    </row>
    <row r="89" ht="15.75" customHeight="1">
      <c r="A89" s="2"/>
      <c r="B89" s="2"/>
      <c r="C89" s="2"/>
      <c r="D89" s="2"/>
      <c r="E89" s="2"/>
      <c r="F89" s="2"/>
      <c r="G89" s="2"/>
      <c r="H89" s="2"/>
    </row>
    <row r="90" ht="15.75" customHeight="1">
      <c r="A90" s="2"/>
      <c r="B90" s="2"/>
      <c r="C90" s="2"/>
      <c r="D90" s="2"/>
      <c r="E90" s="2"/>
      <c r="F90" s="2"/>
      <c r="G90" s="2"/>
      <c r="H90" s="2"/>
    </row>
    <row r="91" ht="15.75" customHeight="1">
      <c r="A91" s="2"/>
      <c r="B91" s="2"/>
      <c r="C91" s="2"/>
      <c r="D91" s="2"/>
      <c r="E91" s="2"/>
      <c r="F91" s="2"/>
      <c r="G91" s="2"/>
      <c r="H91" s="2"/>
    </row>
    <row r="92" ht="15.75" customHeight="1">
      <c r="A92" s="2"/>
      <c r="B92" s="2"/>
      <c r="C92" s="2"/>
      <c r="D92" s="2"/>
      <c r="E92" s="2"/>
      <c r="F92" s="2"/>
      <c r="G92" s="2"/>
      <c r="H92" s="2"/>
    </row>
    <row r="93" ht="15.75" customHeight="1">
      <c r="A93" s="2"/>
      <c r="B93" s="2"/>
      <c r="C93" s="2"/>
      <c r="D93" s="2"/>
      <c r="E93" s="2"/>
      <c r="F93" s="2"/>
      <c r="G93" s="2"/>
      <c r="H93" s="2"/>
    </row>
    <row r="94" ht="15.75" customHeight="1">
      <c r="A94" s="2"/>
      <c r="B94" s="2"/>
      <c r="C94" s="2"/>
      <c r="D94" s="2"/>
      <c r="E94" s="2"/>
      <c r="F94" s="2"/>
      <c r="G94" s="2"/>
      <c r="H94" s="2"/>
    </row>
    <row r="95" ht="15.75" customHeight="1">
      <c r="A95" s="2"/>
      <c r="B95" s="2"/>
      <c r="C95" s="2"/>
      <c r="D95" s="2"/>
      <c r="E95" s="2"/>
      <c r="F95" s="2"/>
      <c r="G95" s="2"/>
      <c r="H95" s="2"/>
    </row>
    <row r="96" ht="15.75" customHeight="1">
      <c r="A96" s="2"/>
      <c r="B96" s="2"/>
      <c r="C96" s="2"/>
      <c r="D96" s="2"/>
      <c r="E96" s="2"/>
      <c r="F96" s="2"/>
      <c r="G96" s="2"/>
      <c r="H96" s="2"/>
    </row>
    <row r="97" ht="15.75" customHeight="1">
      <c r="A97" s="2"/>
      <c r="B97" s="2"/>
      <c r="C97" s="2"/>
      <c r="D97" s="2"/>
      <c r="E97" s="2"/>
      <c r="F97" s="2"/>
      <c r="G97" s="2"/>
      <c r="H97" s="2"/>
    </row>
    <row r="98" ht="15.75" customHeight="1">
      <c r="A98" s="2"/>
      <c r="B98" s="2"/>
      <c r="C98" s="2"/>
      <c r="D98" s="2"/>
      <c r="E98" s="2"/>
      <c r="F98" s="2"/>
      <c r="G98" s="2"/>
      <c r="H98" s="2"/>
    </row>
    <row r="99" ht="15.75" customHeight="1">
      <c r="A99" s="2"/>
      <c r="B99" s="2"/>
      <c r="C99" s="2"/>
      <c r="D99" s="2"/>
      <c r="E99" s="2"/>
      <c r="F99" s="2"/>
      <c r="G99" s="2"/>
      <c r="H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</row>
  </sheetData>
  <printOptions/>
  <pageMargins bottom="1.0" footer="0.0" header="0.0" left="0.75" right="0.75" top="1.0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4.0"/>
    <col customWidth="1" min="3" max="3" width="22.0"/>
    <col customWidth="1" min="4" max="4" width="30.0"/>
    <col customWidth="1" min="5" max="5" width="18.0"/>
    <col customWidth="1" min="6" max="6" width="13.0"/>
    <col customWidth="1" min="7" max="7" width="20.0"/>
    <col customWidth="1" min="8" max="8" width="24.0"/>
  </cols>
  <sheetData>
    <row r="1">
      <c r="A1" s="18" t="s">
        <v>442</v>
      </c>
      <c r="B1" s="2"/>
      <c r="C1" s="2"/>
      <c r="D1" s="2"/>
      <c r="E1" s="2"/>
      <c r="F1" s="2"/>
      <c r="G1" s="2"/>
      <c r="H1" s="2"/>
    </row>
    <row r="2">
      <c r="A2" s="19" t="s">
        <v>443</v>
      </c>
      <c r="B2" s="2"/>
      <c r="C2" s="2"/>
      <c r="D2" s="2"/>
      <c r="E2" s="2"/>
      <c r="F2" s="2"/>
      <c r="G2" s="2"/>
      <c r="H2" s="2"/>
    </row>
    <row r="3">
      <c r="A3" s="2"/>
      <c r="B3" s="2"/>
      <c r="C3" s="2"/>
      <c r="D3" s="2"/>
      <c r="E3" s="2"/>
      <c r="F3" s="2"/>
      <c r="G3" s="2"/>
      <c r="H3" s="2"/>
    </row>
    <row r="4">
      <c r="A4" s="20" t="s">
        <v>81</v>
      </c>
      <c r="B4" s="20" t="s">
        <v>82</v>
      </c>
      <c r="C4" s="20" t="s">
        <v>83</v>
      </c>
      <c r="D4" s="20" t="s">
        <v>84</v>
      </c>
      <c r="E4" s="20" t="s">
        <v>85</v>
      </c>
      <c r="F4" s="20" t="s">
        <v>86</v>
      </c>
      <c r="G4" s="20" t="s">
        <v>87</v>
      </c>
      <c r="H4" s="20" t="s">
        <v>9</v>
      </c>
    </row>
    <row r="5">
      <c r="A5" s="5">
        <v>1.0</v>
      </c>
      <c r="B5" s="5" t="s">
        <v>58</v>
      </c>
      <c r="C5" s="5">
        <v>1900.0</v>
      </c>
      <c r="D5" s="6" t="s">
        <v>444</v>
      </c>
      <c r="E5" s="5" t="str">
        <f>C5</f>
        <v>1900</v>
      </c>
      <c r="F5" s="5" t="str">
        <f t="shared" ref="F5:F11" si="1">14000-E5</f>
        <v>12100</v>
      </c>
      <c r="G5" s="8" t="str">
        <f t="shared" ref="G5:G11" si="2">E5/14000</f>
        <v>13.6%</v>
      </c>
      <c r="H5" s="5" t="str">
        <f t="shared" ref="H5:H11" si="3">IF(G5&gt;=1, "100.0% (Package Over)", TEXT(MIN(G5*100, 99.9), "0.0") &amp; "%")</f>
        <v>13.6%</v>
      </c>
    </row>
    <row r="6">
      <c r="A6" s="5">
        <v>2.0</v>
      </c>
      <c r="B6" s="5" t="s">
        <v>58</v>
      </c>
      <c r="C6" s="5">
        <v>60.0</v>
      </c>
      <c r="D6" s="6" t="s">
        <v>445</v>
      </c>
      <c r="E6" s="5" t="str">
        <f t="shared" ref="E6:E11" si="4">E5+C6</f>
        <v>1960</v>
      </c>
      <c r="F6" s="5" t="str">
        <f t="shared" si="1"/>
        <v>12040</v>
      </c>
      <c r="G6" s="8" t="str">
        <f t="shared" si="2"/>
        <v>14.0%</v>
      </c>
      <c r="H6" s="5" t="str">
        <f t="shared" si="3"/>
        <v>14.0%</v>
      </c>
    </row>
    <row r="7">
      <c r="A7" s="5">
        <v>3.0</v>
      </c>
      <c r="B7" s="5" t="s">
        <v>210</v>
      </c>
      <c r="C7" s="5">
        <v>1900.0</v>
      </c>
      <c r="D7" s="6" t="s">
        <v>446</v>
      </c>
      <c r="E7" s="5" t="str">
        <f t="shared" si="4"/>
        <v>3860</v>
      </c>
      <c r="F7" s="5" t="str">
        <f t="shared" si="1"/>
        <v>10140</v>
      </c>
      <c r="G7" s="8" t="str">
        <f t="shared" si="2"/>
        <v>27.6%</v>
      </c>
      <c r="H7" s="5" t="str">
        <f t="shared" si="3"/>
        <v>27.6%</v>
      </c>
    </row>
    <row r="8">
      <c r="A8" s="5">
        <v>4.0</v>
      </c>
      <c r="B8" s="5" t="s">
        <v>210</v>
      </c>
      <c r="C8" s="5">
        <v>60.0</v>
      </c>
      <c r="D8" s="6" t="s">
        <v>91</v>
      </c>
      <c r="E8" s="5" t="str">
        <f t="shared" si="4"/>
        <v>3920</v>
      </c>
      <c r="F8" s="5" t="str">
        <f t="shared" si="1"/>
        <v>10080</v>
      </c>
      <c r="G8" s="8" t="str">
        <f t="shared" si="2"/>
        <v>28.0%</v>
      </c>
      <c r="H8" s="5" t="str">
        <f t="shared" si="3"/>
        <v>28.0%</v>
      </c>
    </row>
    <row r="9">
      <c r="A9" s="5">
        <v>5.0</v>
      </c>
      <c r="B9" s="5" t="s">
        <v>398</v>
      </c>
      <c r="C9" s="5">
        <v>650.0</v>
      </c>
      <c r="D9" s="6" t="s">
        <v>447</v>
      </c>
      <c r="E9" s="5" t="str">
        <f t="shared" si="4"/>
        <v>4570</v>
      </c>
      <c r="F9" s="5" t="str">
        <f t="shared" si="1"/>
        <v>9430</v>
      </c>
      <c r="G9" s="8" t="str">
        <f t="shared" si="2"/>
        <v>32.6%</v>
      </c>
      <c r="H9" s="5" t="str">
        <f t="shared" si="3"/>
        <v>32.6%</v>
      </c>
    </row>
    <row r="10">
      <c r="A10" s="5">
        <v>6.0</v>
      </c>
      <c r="B10" s="5" t="s">
        <v>313</v>
      </c>
      <c r="C10" s="5">
        <v>950.0</v>
      </c>
      <c r="D10" s="6" t="s">
        <v>448</v>
      </c>
      <c r="E10" s="5" t="str">
        <f t="shared" si="4"/>
        <v>5520</v>
      </c>
      <c r="F10" s="5" t="str">
        <f t="shared" si="1"/>
        <v>8480</v>
      </c>
      <c r="G10" s="8" t="str">
        <f t="shared" si="2"/>
        <v>39.4%</v>
      </c>
      <c r="H10" s="5" t="str">
        <f t="shared" si="3"/>
        <v>39.4%</v>
      </c>
    </row>
    <row r="11">
      <c r="A11" s="5">
        <v>7.0</v>
      </c>
      <c r="B11" s="5" t="s">
        <v>449</v>
      </c>
      <c r="C11" s="5">
        <v>950.0</v>
      </c>
      <c r="D11" s="6" t="s">
        <v>450</v>
      </c>
      <c r="E11" s="5" t="str">
        <f t="shared" si="4"/>
        <v>6470</v>
      </c>
      <c r="F11" s="5" t="str">
        <f t="shared" si="1"/>
        <v>7530</v>
      </c>
      <c r="G11" s="8" t="str">
        <f t="shared" si="2"/>
        <v>46.2%</v>
      </c>
      <c r="H11" s="5" t="str">
        <f t="shared" si="3"/>
        <v>46.2%</v>
      </c>
    </row>
    <row r="12">
      <c r="A12" s="2"/>
      <c r="B12" s="2"/>
      <c r="C12" s="2"/>
      <c r="D12" s="2"/>
      <c r="E12" s="2"/>
      <c r="F12" s="2"/>
      <c r="G12" s="2"/>
      <c r="H12" s="2"/>
    </row>
    <row r="13">
      <c r="A13" s="2"/>
      <c r="B13" s="2"/>
      <c r="C13" s="2"/>
      <c r="D13" s="2"/>
      <c r="E13" s="2"/>
      <c r="F13" s="2"/>
      <c r="G13" s="2"/>
      <c r="H13" s="2"/>
    </row>
    <row r="14">
      <c r="A14" s="2"/>
      <c r="B14" s="2"/>
      <c r="C14" s="2"/>
      <c r="D14" s="2"/>
      <c r="E14" s="2"/>
      <c r="F14" s="2"/>
      <c r="G14" s="2"/>
      <c r="H14" s="2"/>
    </row>
    <row r="15">
      <c r="A15" s="2"/>
      <c r="B15" s="2"/>
      <c r="C15" s="2"/>
      <c r="D15" s="2"/>
      <c r="E15" s="2"/>
      <c r="F15" s="2"/>
      <c r="G15" s="2"/>
      <c r="H15" s="2"/>
    </row>
    <row r="16">
      <c r="A16" s="2"/>
      <c r="B16" s="2"/>
      <c r="C16" s="2"/>
      <c r="D16" s="2"/>
      <c r="E16" s="2"/>
      <c r="F16" s="2"/>
      <c r="G16" s="2"/>
      <c r="H16" s="2"/>
    </row>
    <row r="17">
      <c r="A17" s="2"/>
      <c r="B17" s="2"/>
      <c r="C17" s="2"/>
      <c r="D17" s="2"/>
      <c r="E17" s="2"/>
      <c r="F17" s="2"/>
      <c r="G17" s="2"/>
      <c r="H17" s="2"/>
    </row>
    <row r="18">
      <c r="A18" s="2"/>
      <c r="B18" s="2"/>
      <c r="C18" s="2"/>
      <c r="D18" s="2"/>
      <c r="E18" s="2"/>
      <c r="F18" s="2"/>
      <c r="G18" s="2"/>
      <c r="H18" s="2"/>
    </row>
    <row r="19">
      <c r="A19" s="2"/>
      <c r="B19" s="2"/>
      <c r="C19" s="2"/>
      <c r="D19" s="2"/>
      <c r="E19" s="2"/>
      <c r="F19" s="2"/>
      <c r="G19" s="2"/>
      <c r="H19" s="2"/>
    </row>
    <row r="20">
      <c r="A20" s="2"/>
      <c r="B20" s="2"/>
      <c r="C20" s="2"/>
      <c r="D20" s="2"/>
      <c r="E20" s="2"/>
      <c r="F20" s="2"/>
      <c r="G20" s="2"/>
      <c r="H20" s="2"/>
    </row>
    <row r="21" ht="15.75" customHeight="1">
      <c r="A21" s="2"/>
      <c r="B21" s="2"/>
      <c r="C21" s="2"/>
      <c r="D21" s="2"/>
      <c r="E21" s="2"/>
      <c r="F21" s="2"/>
      <c r="G21" s="2"/>
      <c r="H21" s="2"/>
    </row>
    <row r="22" ht="15.75" customHeight="1">
      <c r="A22" s="2"/>
      <c r="B22" s="2"/>
      <c r="C22" s="2"/>
      <c r="D22" s="2"/>
      <c r="E22" s="2"/>
      <c r="F22" s="2"/>
      <c r="G22" s="2"/>
      <c r="H22" s="2"/>
    </row>
    <row r="23" ht="15.75" customHeight="1">
      <c r="A23" s="2"/>
      <c r="B23" s="2"/>
      <c r="C23" s="2"/>
      <c r="D23" s="2"/>
      <c r="E23" s="2"/>
      <c r="F23" s="2"/>
      <c r="G23" s="2"/>
      <c r="H23" s="2"/>
    </row>
    <row r="24" ht="15.75" customHeight="1">
      <c r="A24" s="2"/>
      <c r="B24" s="2"/>
      <c r="C24" s="2"/>
      <c r="D24" s="2"/>
      <c r="E24" s="2"/>
      <c r="F24" s="2"/>
      <c r="G24" s="2"/>
      <c r="H24" s="2"/>
    </row>
    <row r="25" ht="15.75" customHeight="1">
      <c r="A25" s="2"/>
      <c r="B25" s="2"/>
      <c r="C25" s="2"/>
      <c r="D25" s="2"/>
      <c r="E25" s="2"/>
      <c r="F25" s="2"/>
      <c r="G25" s="2"/>
      <c r="H25" s="2"/>
    </row>
    <row r="26" ht="15.75" customHeight="1">
      <c r="A26" s="2"/>
      <c r="B26" s="2"/>
      <c r="C26" s="2"/>
      <c r="D26" s="2"/>
      <c r="E26" s="2"/>
      <c r="F26" s="2"/>
      <c r="G26" s="2"/>
      <c r="H26" s="2"/>
    </row>
    <row r="27" ht="15.75" customHeight="1">
      <c r="A27" s="2"/>
      <c r="B27" s="2"/>
      <c r="C27" s="2"/>
      <c r="D27" s="2"/>
      <c r="E27" s="2"/>
      <c r="F27" s="2"/>
      <c r="G27" s="2"/>
      <c r="H27" s="2"/>
    </row>
    <row r="28" ht="15.75" customHeight="1">
      <c r="A28" s="2"/>
      <c r="B28" s="2"/>
      <c r="C28" s="2"/>
      <c r="D28" s="2"/>
      <c r="E28" s="2"/>
      <c r="F28" s="2"/>
      <c r="G28" s="2"/>
      <c r="H28" s="2"/>
    </row>
    <row r="29" ht="15.75" customHeight="1">
      <c r="A29" s="2"/>
      <c r="B29" s="2"/>
      <c r="C29" s="2"/>
      <c r="D29" s="2"/>
      <c r="E29" s="2"/>
      <c r="F29" s="2"/>
      <c r="G29" s="2"/>
      <c r="H29" s="2"/>
    </row>
    <row r="30" ht="15.75" customHeight="1">
      <c r="A30" s="2"/>
      <c r="B30" s="2"/>
      <c r="C30" s="2"/>
      <c r="D30" s="2"/>
      <c r="E30" s="2"/>
      <c r="F30" s="2"/>
      <c r="G30" s="2"/>
      <c r="H30" s="2"/>
    </row>
    <row r="31" ht="15.75" customHeight="1">
      <c r="A31" s="2"/>
      <c r="B31" s="2"/>
      <c r="C31" s="2"/>
      <c r="D31" s="2"/>
      <c r="E31" s="2"/>
      <c r="F31" s="2"/>
      <c r="G31" s="2"/>
      <c r="H31" s="2"/>
    </row>
    <row r="32" ht="15.75" customHeight="1">
      <c r="A32" s="2"/>
      <c r="B32" s="2"/>
      <c r="C32" s="2"/>
      <c r="D32" s="2"/>
      <c r="E32" s="2"/>
      <c r="F32" s="2"/>
      <c r="G32" s="2"/>
      <c r="H32" s="2"/>
    </row>
    <row r="33" ht="15.75" customHeight="1">
      <c r="A33" s="2"/>
      <c r="B33" s="2"/>
      <c r="C33" s="2"/>
      <c r="D33" s="2"/>
      <c r="E33" s="2"/>
      <c r="F33" s="2"/>
      <c r="G33" s="2"/>
      <c r="H33" s="2"/>
    </row>
    <row r="34" ht="15.75" customHeight="1">
      <c r="A34" s="2"/>
      <c r="B34" s="2"/>
      <c r="C34" s="2"/>
      <c r="D34" s="2"/>
      <c r="E34" s="2"/>
      <c r="F34" s="2"/>
      <c r="G34" s="2"/>
      <c r="H34" s="2"/>
    </row>
    <row r="35" ht="15.75" customHeight="1">
      <c r="A35" s="2"/>
      <c r="B35" s="2"/>
      <c r="C35" s="2"/>
      <c r="D35" s="2"/>
      <c r="E35" s="2"/>
      <c r="F35" s="2"/>
      <c r="G35" s="2"/>
      <c r="H35" s="2"/>
    </row>
    <row r="36" ht="15.75" customHeight="1">
      <c r="A36" s="2"/>
      <c r="B36" s="2"/>
      <c r="C36" s="2"/>
      <c r="D36" s="2"/>
      <c r="E36" s="2"/>
      <c r="F36" s="2"/>
      <c r="G36" s="2"/>
      <c r="H36" s="2"/>
    </row>
    <row r="37" ht="15.75" customHeight="1">
      <c r="A37" s="2"/>
      <c r="B37" s="2"/>
      <c r="C37" s="2"/>
      <c r="D37" s="2"/>
      <c r="E37" s="2"/>
      <c r="F37" s="2"/>
      <c r="G37" s="2"/>
      <c r="H37" s="2"/>
    </row>
    <row r="38" ht="15.75" customHeight="1">
      <c r="A38" s="2"/>
      <c r="B38" s="2"/>
      <c r="C38" s="2"/>
      <c r="D38" s="2"/>
      <c r="E38" s="2"/>
      <c r="F38" s="2"/>
      <c r="G38" s="2"/>
      <c r="H38" s="2"/>
    </row>
    <row r="39" ht="15.75" customHeight="1">
      <c r="A39" s="2"/>
      <c r="B39" s="2"/>
      <c r="C39" s="2"/>
      <c r="D39" s="2"/>
      <c r="E39" s="2"/>
      <c r="F39" s="2"/>
      <c r="G39" s="2"/>
      <c r="H39" s="2"/>
    </row>
    <row r="40" ht="15.75" customHeight="1">
      <c r="A40" s="2"/>
      <c r="B40" s="2"/>
      <c r="C40" s="2"/>
      <c r="D40" s="2"/>
      <c r="E40" s="2"/>
      <c r="F40" s="2"/>
      <c r="G40" s="2"/>
      <c r="H40" s="2"/>
    </row>
    <row r="41" ht="15.75" customHeight="1">
      <c r="A41" s="2"/>
      <c r="B41" s="2"/>
      <c r="C41" s="2"/>
      <c r="D41" s="2"/>
      <c r="E41" s="2"/>
      <c r="F41" s="2"/>
      <c r="G41" s="2"/>
      <c r="H41" s="2"/>
    </row>
    <row r="42" ht="15.75" customHeight="1">
      <c r="A42" s="2"/>
      <c r="B42" s="2"/>
      <c r="C42" s="2"/>
      <c r="D42" s="2"/>
      <c r="E42" s="2"/>
      <c r="F42" s="2"/>
      <c r="G42" s="2"/>
      <c r="H42" s="2"/>
    </row>
    <row r="43" ht="15.75" customHeight="1">
      <c r="A43" s="2"/>
      <c r="B43" s="2"/>
      <c r="C43" s="2"/>
      <c r="D43" s="2"/>
      <c r="E43" s="2"/>
      <c r="F43" s="2"/>
      <c r="G43" s="2"/>
      <c r="H43" s="2"/>
    </row>
    <row r="44" ht="15.75" customHeight="1">
      <c r="A44" s="2"/>
      <c r="B44" s="2"/>
      <c r="C44" s="2"/>
      <c r="D44" s="2"/>
      <c r="E44" s="2"/>
      <c r="F44" s="2"/>
      <c r="G44" s="2"/>
      <c r="H44" s="2"/>
    </row>
    <row r="45" ht="15.75" customHeight="1">
      <c r="A45" s="2"/>
      <c r="B45" s="2"/>
      <c r="C45" s="2"/>
      <c r="D45" s="2"/>
      <c r="E45" s="2"/>
      <c r="F45" s="2"/>
      <c r="G45" s="2"/>
      <c r="H45" s="2"/>
    </row>
    <row r="46" ht="15.75" customHeight="1">
      <c r="A46" s="2"/>
      <c r="B46" s="2"/>
      <c r="C46" s="2"/>
      <c r="D46" s="2"/>
      <c r="E46" s="2"/>
      <c r="F46" s="2"/>
      <c r="G46" s="2"/>
      <c r="H46" s="2"/>
    </row>
    <row r="47" ht="15.75" customHeight="1">
      <c r="A47" s="2"/>
      <c r="B47" s="2"/>
      <c r="C47" s="2"/>
      <c r="D47" s="2"/>
      <c r="E47" s="2"/>
      <c r="F47" s="2"/>
      <c r="G47" s="2"/>
      <c r="H47" s="2"/>
    </row>
    <row r="48" ht="15.75" customHeight="1">
      <c r="A48" s="2"/>
      <c r="B48" s="2"/>
      <c r="C48" s="2"/>
      <c r="D48" s="2"/>
      <c r="E48" s="2"/>
      <c r="F48" s="2"/>
      <c r="G48" s="2"/>
      <c r="H48" s="2"/>
    </row>
    <row r="49" ht="15.75" customHeight="1">
      <c r="A49" s="2"/>
      <c r="B49" s="2"/>
      <c r="C49" s="2"/>
      <c r="D49" s="2"/>
      <c r="E49" s="2"/>
      <c r="F49" s="2"/>
      <c r="G49" s="2"/>
      <c r="H49" s="2"/>
    </row>
    <row r="50" ht="15.75" customHeight="1">
      <c r="A50" s="2"/>
      <c r="B50" s="2"/>
      <c r="C50" s="2"/>
      <c r="D50" s="2"/>
      <c r="E50" s="2"/>
      <c r="F50" s="2"/>
      <c r="G50" s="2"/>
      <c r="H50" s="2"/>
    </row>
    <row r="51" ht="15.75" customHeight="1">
      <c r="A51" s="2"/>
      <c r="B51" s="2"/>
      <c r="C51" s="2"/>
      <c r="D51" s="2"/>
      <c r="E51" s="2"/>
      <c r="F51" s="2"/>
      <c r="G51" s="2"/>
      <c r="H51" s="2"/>
    </row>
    <row r="52" ht="15.75" customHeight="1">
      <c r="A52" s="2"/>
      <c r="B52" s="2"/>
      <c r="C52" s="2"/>
      <c r="D52" s="2"/>
      <c r="E52" s="2"/>
      <c r="F52" s="2"/>
      <c r="G52" s="2"/>
      <c r="H52" s="2"/>
    </row>
    <row r="53" ht="15.75" customHeight="1">
      <c r="A53" s="2"/>
      <c r="B53" s="2"/>
      <c r="C53" s="2"/>
      <c r="D53" s="2"/>
      <c r="E53" s="2"/>
      <c r="F53" s="2"/>
      <c r="G53" s="2"/>
      <c r="H53" s="2"/>
    </row>
    <row r="54" ht="15.75" customHeight="1">
      <c r="A54" s="2"/>
      <c r="B54" s="2"/>
      <c r="C54" s="2"/>
      <c r="D54" s="2"/>
      <c r="E54" s="2"/>
      <c r="F54" s="2"/>
      <c r="G54" s="2"/>
      <c r="H54" s="2"/>
    </row>
    <row r="55" ht="15.75" customHeight="1">
      <c r="A55" s="2"/>
      <c r="B55" s="2"/>
      <c r="C55" s="2"/>
      <c r="D55" s="2"/>
      <c r="E55" s="2"/>
      <c r="F55" s="2"/>
      <c r="G55" s="2"/>
      <c r="H55" s="2"/>
    </row>
    <row r="56" ht="15.75" customHeight="1">
      <c r="A56" s="2"/>
      <c r="B56" s="2"/>
      <c r="C56" s="2"/>
      <c r="D56" s="2"/>
      <c r="E56" s="2"/>
      <c r="F56" s="2"/>
      <c r="G56" s="2"/>
      <c r="H56" s="2"/>
    </row>
    <row r="57" ht="15.75" customHeight="1">
      <c r="A57" s="2"/>
      <c r="B57" s="2"/>
      <c r="C57" s="2"/>
      <c r="D57" s="2"/>
      <c r="E57" s="2"/>
      <c r="F57" s="2"/>
      <c r="G57" s="2"/>
      <c r="H57" s="2"/>
    </row>
    <row r="58" ht="15.75" customHeight="1">
      <c r="A58" s="2"/>
      <c r="B58" s="2"/>
      <c r="C58" s="2"/>
      <c r="D58" s="2"/>
      <c r="E58" s="2"/>
      <c r="F58" s="2"/>
      <c r="G58" s="2"/>
      <c r="H58" s="2"/>
    </row>
    <row r="59" ht="15.75" customHeight="1">
      <c r="A59" s="2"/>
      <c r="B59" s="2"/>
      <c r="C59" s="2"/>
      <c r="D59" s="2"/>
      <c r="E59" s="2"/>
      <c r="F59" s="2"/>
      <c r="G59" s="2"/>
      <c r="H59" s="2"/>
    </row>
    <row r="60" ht="15.75" customHeight="1">
      <c r="A60" s="2"/>
      <c r="B60" s="2"/>
      <c r="C60" s="2"/>
      <c r="D60" s="2"/>
      <c r="E60" s="2"/>
      <c r="F60" s="2"/>
      <c r="G60" s="2"/>
      <c r="H60" s="2"/>
    </row>
    <row r="61" ht="15.75" customHeight="1">
      <c r="A61" s="2"/>
      <c r="B61" s="2"/>
      <c r="C61" s="2"/>
      <c r="D61" s="2"/>
      <c r="E61" s="2"/>
      <c r="F61" s="2"/>
      <c r="G61" s="2"/>
      <c r="H61" s="2"/>
    </row>
    <row r="62" ht="15.75" customHeight="1">
      <c r="A62" s="2"/>
      <c r="B62" s="2"/>
      <c r="C62" s="2"/>
      <c r="D62" s="2"/>
      <c r="E62" s="2"/>
      <c r="F62" s="2"/>
      <c r="G62" s="2"/>
      <c r="H62" s="2"/>
    </row>
    <row r="63" ht="15.75" customHeight="1">
      <c r="A63" s="2"/>
      <c r="B63" s="2"/>
      <c r="C63" s="2"/>
      <c r="D63" s="2"/>
      <c r="E63" s="2"/>
      <c r="F63" s="2"/>
      <c r="G63" s="2"/>
      <c r="H63" s="2"/>
    </row>
    <row r="64" ht="15.75" customHeight="1">
      <c r="A64" s="2"/>
      <c r="B64" s="2"/>
      <c r="C64" s="2"/>
      <c r="D64" s="2"/>
      <c r="E64" s="2"/>
      <c r="F64" s="2"/>
      <c r="G64" s="2"/>
      <c r="H64" s="2"/>
    </row>
    <row r="65" ht="15.75" customHeight="1">
      <c r="A65" s="2"/>
      <c r="B65" s="2"/>
      <c r="C65" s="2"/>
      <c r="D65" s="2"/>
      <c r="E65" s="2"/>
      <c r="F65" s="2"/>
      <c r="G65" s="2"/>
      <c r="H65" s="2"/>
    </row>
    <row r="66" ht="15.75" customHeight="1">
      <c r="A66" s="2"/>
      <c r="B66" s="2"/>
      <c r="C66" s="2"/>
      <c r="D66" s="2"/>
      <c r="E66" s="2"/>
      <c r="F66" s="2"/>
      <c r="G66" s="2"/>
      <c r="H66" s="2"/>
    </row>
    <row r="67" ht="15.75" customHeight="1">
      <c r="A67" s="2"/>
      <c r="B67" s="2"/>
      <c r="C67" s="2"/>
      <c r="D67" s="2"/>
      <c r="E67" s="2"/>
      <c r="F67" s="2"/>
      <c r="G67" s="2"/>
      <c r="H67" s="2"/>
    </row>
    <row r="68" ht="15.75" customHeight="1">
      <c r="A68" s="2"/>
      <c r="B68" s="2"/>
      <c r="C68" s="2"/>
      <c r="D68" s="2"/>
      <c r="E68" s="2"/>
      <c r="F68" s="2"/>
      <c r="G68" s="2"/>
      <c r="H68" s="2"/>
    </row>
    <row r="69" ht="15.75" customHeight="1">
      <c r="A69" s="2"/>
      <c r="B69" s="2"/>
      <c r="C69" s="2"/>
      <c r="D69" s="2"/>
      <c r="E69" s="2"/>
      <c r="F69" s="2"/>
      <c r="G69" s="2"/>
      <c r="H69" s="2"/>
    </row>
    <row r="70" ht="15.75" customHeight="1">
      <c r="A70" s="2"/>
      <c r="B70" s="2"/>
      <c r="C70" s="2"/>
      <c r="D70" s="2"/>
      <c r="E70" s="2"/>
      <c r="F70" s="2"/>
      <c r="G70" s="2"/>
      <c r="H70" s="2"/>
    </row>
    <row r="71" ht="15.75" customHeight="1">
      <c r="A71" s="2"/>
      <c r="B71" s="2"/>
      <c r="C71" s="2"/>
      <c r="D71" s="2"/>
      <c r="E71" s="2"/>
      <c r="F71" s="2"/>
      <c r="G71" s="2"/>
      <c r="H71" s="2"/>
    </row>
    <row r="72" ht="15.75" customHeight="1">
      <c r="A72" s="2"/>
      <c r="B72" s="2"/>
      <c r="C72" s="2"/>
      <c r="D72" s="2"/>
      <c r="E72" s="2"/>
      <c r="F72" s="2"/>
      <c r="G72" s="2"/>
      <c r="H72" s="2"/>
    </row>
    <row r="73" ht="15.75" customHeight="1">
      <c r="A73" s="2"/>
      <c r="B73" s="2"/>
      <c r="C73" s="2"/>
      <c r="D73" s="2"/>
      <c r="E73" s="2"/>
      <c r="F73" s="2"/>
      <c r="G73" s="2"/>
      <c r="H73" s="2"/>
    </row>
    <row r="74" ht="15.75" customHeight="1">
      <c r="A74" s="2"/>
      <c r="B74" s="2"/>
      <c r="C74" s="2"/>
      <c r="D74" s="2"/>
      <c r="E74" s="2"/>
      <c r="F74" s="2"/>
      <c r="G74" s="2"/>
      <c r="H74" s="2"/>
    </row>
    <row r="75" ht="15.75" customHeight="1">
      <c r="A75" s="2"/>
      <c r="B75" s="2"/>
      <c r="C75" s="2"/>
      <c r="D75" s="2"/>
      <c r="E75" s="2"/>
      <c r="F75" s="2"/>
      <c r="G75" s="2"/>
      <c r="H75" s="2"/>
    </row>
    <row r="76" ht="15.75" customHeight="1">
      <c r="A76" s="2"/>
      <c r="B76" s="2"/>
      <c r="C76" s="2"/>
      <c r="D76" s="2"/>
      <c r="E76" s="2"/>
      <c r="F76" s="2"/>
      <c r="G76" s="2"/>
      <c r="H76" s="2"/>
    </row>
    <row r="77" ht="15.75" customHeight="1">
      <c r="A77" s="2"/>
      <c r="B77" s="2"/>
      <c r="C77" s="2"/>
      <c r="D77" s="2"/>
      <c r="E77" s="2"/>
      <c r="F77" s="2"/>
      <c r="G77" s="2"/>
      <c r="H77" s="2"/>
    </row>
    <row r="78" ht="15.75" customHeight="1">
      <c r="A78" s="2"/>
      <c r="B78" s="2"/>
      <c r="C78" s="2"/>
      <c r="D78" s="2"/>
      <c r="E78" s="2"/>
      <c r="F78" s="2"/>
      <c r="G78" s="2"/>
      <c r="H78" s="2"/>
    </row>
    <row r="79" ht="15.75" customHeight="1">
      <c r="A79" s="2"/>
      <c r="B79" s="2"/>
      <c r="C79" s="2"/>
      <c r="D79" s="2"/>
      <c r="E79" s="2"/>
      <c r="F79" s="2"/>
      <c r="G79" s="2"/>
      <c r="H79" s="2"/>
    </row>
    <row r="80" ht="15.75" customHeight="1">
      <c r="A80" s="2"/>
      <c r="B80" s="2"/>
      <c r="C80" s="2"/>
      <c r="D80" s="2"/>
      <c r="E80" s="2"/>
      <c r="F80" s="2"/>
      <c r="G80" s="2"/>
      <c r="H80" s="2"/>
    </row>
    <row r="81" ht="15.75" customHeight="1">
      <c r="A81" s="2"/>
      <c r="B81" s="2"/>
      <c r="C81" s="2"/>
      <c r="D81" s="2"/>
      <c r="E81" s="2"/>
      <c r="F81" s="2"/>
      <c r="G81" s="2"/>
      <c r="H81" s="2"/>
    </row>
    <row r="82" ht="15.75" customHeight="1">
      <c r="A82" s="2"/>
      <c r="B82" s="2"/>
      <c r="C82" s="2"/>
      <c r="D82" s="2"/>
      <c r="E82" s="2"/>
      <c r="F82" s="2"/>
      <c r="G82" s="2"/>
      <c r="H82" s="2"/>
    </row>
    <row r="83" ht="15.75" customHeight="1">
      <c r="A83" s="2"/>
      <c r="B83" s="2"/>
      <c r="C83" s="2"/>
      <c r="D83" s="2"/>
      <c r="E83" s="2"/>
      <c r="F83" s="2"/>
      <c r="G83" s="2"/>
      <c r="H83" s="2"/>
    </row>
    <row r="84" ht="15.75" customHeight="1">
      <c r="A84" s="2"/>
      <c r="B84" s="2"/>
      <c r="C84" s="2"/>
      <c r="D84" s="2"/>
      <c r="E84" s="2"/>
      <c r="F84" s="2"/>
      <c r="G84" s="2"/>
      <c r="H84" s="2"/>
    </row>
    <row r="85" ht="15.75" customHeight="1">
      <c r="A85" s="2"/>
      <c r="B85" s="2"/>
      <c r="C85" s="2"/>
      <c r="D85" s="2"/>
      <c r="E85" s="2"/>
      <c r="F85" s="2"/>
      <c r="G85" s="2"/>
      <c r="H85" s="2"/>
    </row>
    <row r="86" ht="15.75" customHeight="1">
      <c r="A86" s="2"/>
      <c r="B86" s="2"/>
      <c r="C86" s="2"/>
      <c r="D86" s="2"/>
      <c r="E86" s="2"/>
      <c r="F86" s="2"/>
      <c r="G86" s="2"/>
      <c r="H86" s="2"/>
    </row>
    <row r="87" ht="15.75" customHeight="1">
      <c r="A87" s="2"/>
      <c r="B87" s="2"/>
      <c r="C87" s="2"/>
      <c r="D87" s="2"/>
      <c r="E87" s="2"/>
      <c r="F87" s="2"/>
      <c r="G87" s="2"/>
      <c r="H87" s="2"/>
    </row>
    <row r="88" ht="15.75" customHeight="1">
      <c r="A88" s="2"/>
      <c r="B88" s="2"/>
      <c r="C88" s="2"/>
      <c r="D88" s="2"/>
      <c r="E88" s="2"/>
      <c r="F88" s="2"/>
      <c r="G88" s="2"/>
      <c r="H88" s="2"/>
    </row>
    <row r="89" ht="15.75" customHeight="1">
      <c r="A89" s="2"/>
      <c r="B89" s="2"/>
      <c r="C89" s="2"/>
      <c r="D89" s="2"/>
      <c r="E89" s="2"/>
      <c r="F89" s="2"/>
      <c r="G89" s="2"/>
      <c r="H89" s="2"/>
    </row>
    <row r="90" ht="15.75" customHeight="1">
      <c r="A90" s="2"/>
      <c r="B90" s="2"/>
      <c r="C90" s="2"/>
      <c r="D90" s="2"/>
      <c r="E90" s="2"/>
      <c r="F90" s="2"/>
      <c r="G90" s="2"/>
      <c r="H90" s="2"/>
    </row>
    <row r="91" ht="15.75" customHeight="1">
      <c r="A91" s="2"/>
      <c r="B91" s="2"/>
      <c r="C91" s="2"/>
      <c r="D91" s="2"/>
      <c r="E91" s="2"/>
      <c r="F91" s="2"/>
      <c r="G91" s="2"/>
      <c r="H91" s="2"/>
    </row>
    <row r="92" ht="15.75" customHeight="1">
      <c r="A92" s="2"/>
      <c r="B92" s="2"/>
      <c r="C92" s="2"/>
      <c r="D92" s="2"/>
      <c r="E92" s="2"/>
      <c r="F92" s="2"/>
      <c r="G92" s="2"/>
      <c r="H92" s="2"/>
    </row>
    <row r="93" ht="15.75" customHeight="1">
      <c r="A93" s="2"/>
      <c r="B93" s="2"/>
      <c r="C93" s="2"/>
      <c r="D93" s="2"/>
      <c r="E93" s="2"/>
      <c r="F93" s="2"/>
      <c r="G93" s="2"/>
      <c r="H93" s="2"/>
    </row>
    <row r="94" ht="15.75" customHeight="1">
      <c r="A94" s="2"/>
      <c r="B94" s="2"/>
      <c r="C94" s="2"/>
      <c r="D94" s="2"/>
      <c r="E94" s="2"/>
      <c r="F94" s="2"/>
      <c r="G94" s="2"/>
      <c r="H94" s="2"/>
    </row>
    <row r="95" ht="15.75" customHeight="1">
      <c r="A95" s="2"/>
      <c r="B95" s="2"/>
      <c r="C95" s="2"/>
      <c r="D95" s="2"/>
      <c r="E95" s="2"/>
      <c r="F95" s="2"/>
      <c r="G95" s="2"/>
      <c r="H95" s="2"/>
    </row>
    <row r="96" ht="15.75" customHeight="1">
      <c r="A96" s="2"/>
      <c r="B96" s="2"/>
      <c r="C96" s="2"/>
      <c r="D96" s="2"/>
      <c r="E96" s="2"/>
      <c r="F96" s="2"/>
      <c r="G96" s="2"/>
      <c r="H96" s="2"/>
    </row>
    <row r="97" ht="15.75" customHeight="1">
      <c r="A97" s="2"/>
      <c r="B97" s="2"/>
      <c r="C97" s="2"/>
      <c r="D97" s="2"/>
      <c r="E97" s="2"/>
      <c r="F97" s="2"/>
      <c r="G97" s="2"/>
      <c r="H97" s="2"/>
    </row>
    <row r="98" ht="15.75" customHeight="1">
      <c r="A98" s="2"/>
      <c r="B98" s="2"/>
      <c r="C98" s="2"/>
      <c r="D98" s="2"/>
      <c r="E98" s="2"/>
      <c r="F98" s="2"/>
      <c r="G98" s="2"/>
      <c r="H98" s="2"/>
    </row>
    <row r="99" ht="15.75" customHeight="1">
      <c r="A99" s="2"/>
      <c r="B99" s="2"/>
      <c r="C99" s="2"/>
      <c r="D99" s="2"/>
      <c r="E99" s="2"/>
      <c r="F99" s="2"/>
      <c r="G99" s="2"/>
      <c r="H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</row>
  </sheetData>
  <printOptions/>
  <pageMargins bottom="1.0" footer="0.0" header="0.0" left="0.75" right="0.75" top="1.0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4.0"/>
    <col customWidth="1" min="3" max="3" width="22.0"/>
    <col customWidth="1" min="4" max="4" width="30.0"/>
    <col customWidth="1" min="5" max="5" width="18.0"/>
    <col customWidth="1" min="6" max="6" width="13.0"/>
    <col customWidth="1" min="7" max="7" width="20.0"/>
    <col customWidth="1" min="8" max="8" width="24.0"/>
  </cols>
  <sheetData>
    <row r="1">
      <c r="A1" s="18" t="s">
        <v>451</v>
      </c>
      <c r="B1" s="2"/>
      <c r="C1" s="2"/>
      <c r="D1" s="2"/>
      <c r="E1" s="2"/>
      <c r="F1" s="2"/>
      <c r="G1" s="2"/>
      <c r="H1" s="2"/>
    </row>
    <row r="2">
      <c r="A2" s="19" t="s">
        <v>452</v>
      </c>
      <c r="B2" s="2"/>
      <c r="C2" s="2"/>
      <c r="D2" s="2"/>
      <c r="E2" s="2"/>
      <c r="F2" s="2"/>
      <c r="G2" s="2"/>
      <c r="H2" s="2"/>
    </row>
    <row r="3">
      <c r="A3" s="2"/>
      <c r="B3" s="2"/>
      <c r="C3" s="2"/>
      <c r="D3" s="2"/>
      <c r="E3" s="2"/>
      <c r="F3" s="2"/>
      <c r="G3" s="2"/>
      <c r="H3" s="2"/>
    </row>
    <row r="4">
      <c r="A4" s="20" t="s">
        <v>81</v>
      </c>
      <c r="B4" s="20" t="s">
        <v>82</v>
      </c>
      <c r="C4" s="20" t="s">
        <v>83</v>
      </c>
      <c r="D4" s="20" t="s">
        <v>84</v>
      </c>
      <c r="E4" s="20" t="s">
        <v>85</v>
      </c>
      <c r="F4" s="20" t="s">
        <v>86</v>
      </c>
      <c r="G4" s="20" t="s">
        <v>87</v>
      </c>
      <c r="H4" s="20" t="s">
        <v>9</v>
      </c>
    </row>
    <row r="5">
      <c r="A5" s="5">
        <v>1.0</v>
      </c>
      <c r="B5" s="5" t="s">
        <v>60</v>
      </c>
      <c r="C5" s="5">
        <v>60.0</v>
      </c>
      <c r="D5" s="6" t="s">
        <v>453</v>
      </c>
      <c r="E5" s="5" t="str">
        <f>C5</f>
        <v>60</v>
      </c>
      <c r="F5" s="5" t="str">
        <f t="shared" ref="F5:F14" si="1">600-E5</f>
        <v>540</v>
      </c>
      <c r="G5" s="8" t="str">
        <f t="shared" ref="G5:G14" si="2">E5/600</f>
        <v>10.0%</v>
      </c>
      <c r="H5" s="5" t="str">
        <f t="shared" ref="H5:H14" si="3">IF(G5&gt;=1, "100.0% (Package Over)", TEXT(MIN(G5*100, 99.9), "0.0") &amp; "%")</f>
        <v>10.0%</v>
      </c>
    </row>
    <row r="6">
      <c r="A6" s="5">
        <v>2.0</v>
      </c>
      <c r="B6" s="5" t="s">
        <v>66</v>
      </c>
      <c r="C6" s="5">
        <v>60.0</v>
      </c>
      <c r="D6" s="6" t="s">
        <v>454</v>
      </c>
      <c r="E6" s="5" t="str">
        <f t="shared" ref="E6:E14" si="4">E5+C6</f>
        <v>120</v>
      </c>
      <c r="F6" s="5" t="str">
        <f t="shared" si="1"/>
        <v>480</v>
      </c>
      <c r="G6" s="8" t="str">
        <f t="shared" si="2"/>
        <v>20.0%</v>
      </c>
      <c r="H6" s="5" t="str">
        <f t="shared" si="3"/>
        <v>20.0%</v>
      </c>
    </row>
    <row r="7">
      <c r="A7" s="5">
        <v>3.0</v>
      </c>
      <c r="B7" s="5" t="s">
        <v>194</v>
      </c>
      <c r="C7" s="5">
        <v>90.0</v>
      </c>
      <c r="D7" s="6" t="s">
        <v>453</v>
      </c>
      <c r="E7" s="5" t="str">
        <f t="shared" si="4"/>
        <v>210</v>
      </c>
      <c r="F7" s="5" t="str">
        <f t="shared" si="1"/>
        <v>390</v>
      </c>
      <c r="G7" s="8" t="str">
        <f t="shared" si="2"/>
        <v>35.0%</v>
      </c>
      <c r="H7" s="5" t="str">
        <f t="shared" si="3"/>
        <v>35.0%</v>
      </c>
    </row>
    <row r="8">
      <c r="A8" s="5">
        <v>4.0</v>
      </c>
      <c r="B8" s="5" t="s">
        <v>455</v>
      </c>
      <c r="C8" s="5">
        <v>60.0</v>
      </c>
      <c r="D8" s="6" t="s">
        <v>453</v>
      </c>
      <c r="E8" s="5" t="str">
        <f t="shared" si="4"/>
        <v>270</v>
      </c>
      <c r="F8" s="5" t="str">
        <f t="shared" si="1"/>
        <v>330</v>
      </c>
      <c r="G8" s="8" t="str">
        <f t="shared" si="2"/>
        <v>45.0%</v>
      </c>
      <c r="H8" s="5" t="str">
        <f t="shared" si="3"/>
        <v>45.0%</v>
      </c>
    </row>
    <row r="9">
      <c r="A9" s="5">
        <v>5.0</v>
      </c>
      <c r="B9" s="5" t="s">
        <v>210</v>
      </c>
      <c r="C9" s="5">
        <v>60.0</v>
      </c>
      <c r="D9" s="6" t="s">
        <v>456</v>
      </c>
      <c r="E9" s="5" t="str">
        <f t="shared" si="4"/>
        <v>330</v>
      </c>
      <c r="F9" s="5" t="str">
        <f t="shared" si="1"/>
        <v>270</v>
      </c>
      <c r="G9" s="8" t="str">
        <f t="shared" si="2"/>
        <v>55.0%</v>
      </c>
      <c r="H9" s="5" t="str">
        <f t="shared" si="3"/>
        <v>55.0%</v>
      </c>
    </row>
    <row r="10">
      <c r="A10" s="5">
        <v>6.0</v>
      </c>
      <c r="B10" s="5" t="s">
        <v>457</v>
      </c>
      <c r="C10" s="5">
        <v>60.0</v>
      </c>
      <c r="D10" s="6" t="s">
        <v>453</v>
      </c>
      <c r="E10" s="5" t="str">
        <f t="shared" si="4"/>
        <v>390</v>
      </c>
      <c r="F10" s="5" t="str">
        <f t="shared" si="1"/>
        <v>210</v>
      </c>
      <c r="G10" s="8" t="str">
        <f t="shared" si="2"/>
        <v>65.0%</v>
      </c>
      <c r="H10" s="5" t="str">
        <f t="shared" si="3"/>
        <v>65.0%</v>
      </c>
    </row>
    <row r="11">
      <c r="A11" s="5">
        <v>7.0</v>
      </c>
      <c r="B11" s="5" t="s">
        <v>458</v>
      </c>
      <c r="C11" s="5">
        <v>60.0</v>
      </c>
      <c r="D11" s="6" t="s">
        <v>453</v>
      </c>
      <c r="E11" s="5" t="str">
        <f t="shared" si="4"/>
        <v>450</v>
      </c>
      <c r="F11" s="5" t="str">
        <f t="shared" si="1"/>
        <v>150</v>
      </c>
      <c r="G11" s="8" t="str">
        <f t="shared" si="2"/>
        <v>75.0%</v>
      </c>
      <c r="H11" s="5" t="str">
        <f t="shared" si="3"/>
        <v>75.0%</v>
      </c>
    </row>
    <row r="12">
      <c r="A12" s="5">
        <v>8.0</v>
      </c>
      <c r="B12" s="5" t="s">
        <v>165</v>
      </c>
      <c r="C12" s="5">
        <v>60.0</v>
      </c>
      <c r="D12" s="6" t="s">
        <v>454</v>
      </c>
      <c r="E12" s="5" t="str">
        <f t="shared" si="4"/>
        <v>510</v>
      </c>
      <c r="F12" s="5" t="str">
        <f t="shared" si="1"/>
        <v>90</v>
      </c>
      <c r="G12" s="8" t="str">
        <f t="shared" si="2"/>
        <v>85.0%</v>
      </c>
      <c r="H12" s="5" t="str">
        <f t="shared" si="3"/>
        <v>85.0%</v>
      </c>
    </row>
    <row r="13">
      <c r="A13" s="5">
        <v>9.0</v>
      </c>
      <c r="B13" s="5" t="s">
        <v>324</v>
      </c>
      <c r="C13" s="5">
        <v>60.0</v>
      </c>
      <c r="D13" s="6" t="s">
        <v>459</v>
      </c>
      <c r="E13" s="5" t="str">
        <f t="shared" si="4"/>
        <v>570</v>
      </c>
      <c r="F13" s="5" t="str">
        <f t="shared" si="1"/>
        <v>30</v>
      </c>
      <c r="G13" s="8" t="str">
        <f t="shared" si="2"/>
        <v>95.0%</v>
      </c>
      <c r="H13" s="5" t="str">
        <f t="shared" si="3"/>
        <v>95.0%</v>
      </c>
    </row>
    <row r="14">
      <c r="A14" s="5">
        <v>10.0</v>
      </c>
      <c r="B14" s="5" t="s">
        <v>460</v>
      </c>
      <c r="C14" s="5">
        <v>30.0</v>
      </c>
      <c r="D14" s="6" t="s">
        <v>459</v>
      </c>
      <c r="E14" s="5" t="str">
        <f t="shared" si="4"/>
        <v>600</v>
      </c>
      <c r="F14" s="5" t="str">
        <f t="shared" si="1"/>
        <v>0</v>
      </c>
      <c r="G14" s="8" t="str">
        <f t="shared" si="2"/>
        <v>100.0%</v>
      </c>
      <c r="H14" s="5" t="str">
        <f t="shared" si="3"/>
        <v>100.0% (Package Over)</v>
      </c>
    </row>
    <row r="15">
      <c r="A15" s="2"/>
      <c r="B15" s="2"/>
      <c r="C15" s="2"/>
      <c r="D15" s="2"/>
      <c r="E15" s="2"/>
      <c r="F15" s="2"/>
      <c r="G15" s="2"/>
      <c r="H15" s="2"/>
    </row>
    <row r="16">
      <c r="A16" s="2"/>
      <c r="B16" s="2"/>
      <c r="C16" s="2"/>
      <c r="D16" s="2"/>
      <c r="E16" s="2"/>
      <c r="F16" s="2"/>
      <c r="G16" s="2"/>
      <c r="H16" s="2"/>
    </row>
    <row r="17">
      <c r="A17" s="2"/>
      <c r="B17" s="2"/>
      <c r="C17" s="2"/>
      <c r="D17" s="2"/>
      <c r="E17" s="2"/>
      <c r="F17" s="2"/>
      <c r="G17" s="2"/>
      <c r="H17" s="2"/>
    </row>
    <row r="18">
      <c r="A18" s="2"/>
      <c r="B18" s="2"/>
      <c r="C18" s="2"/>
      <c r="D18" s="2"/>
      <c r="E18" s="2"/>
      <c r="F18" s="2"/>
      <c r="G18" s="2"/>
      <c r="H18" s="2"/>
    </row>
    <row r="19">
      <c r="A19" s="2"/>
      <c r="B19" s="2"/>
      <c r="C19" s="2"/>
      <c r="D19" s="2"/>
      <c r="E19" s="2"/>
      <c r="F19" s="2"/>
      <c r="G19" s="2"/>
      <c r="H19" s="2"/>
    </row>
    <row r="20">
      <c r="A20" s="2"/>
      <c r="B20" s="2"/>
      <c r="C20" s="2"/>
      <c r="D20" s="2"/>
      <c r="E20" s="2"/>
      <c r="F20" s="2"/>
      <c r="G20" s="2"/>
      <c r="H20" s="2"/>
    </row>
    <row r="21" ht="15.75" customHeight="1">
      <c r="A21" s="2"/>
      <c r="B21" s="2"/>
      <c r="C21" s="2"/>
      <c r="D21" s="2"/>
      <c r="E21" s="2"/>
      <c r="F21" s="2"/>
      <c r="G21" s="2"/>
      <c r="H21" s="2"/>
    </row>
    <row r="22" ht="15.75" customHeight="1">
      <c r="A22" s="2"/>
      <c r="B22" s="2"/>
      <c r="C22" s="2"/>
      <c r="D22" s="2"/>
      <c r="E22" s="2"/>
      <c r="F22" s="2"/>
      <c r="G22" s="2"/>
      <c r="H22" s="2"/>
    </row>
    <row r="23" ht="15.75" customHeight="1">
      <c r="A23" s="2"/>
      <c r="B23" s="2"/>
      <c r="C23" s="2"/>
      <c r="D23" s="2"/>
      <c r="E23" s="2"/>
      <c r="F23" s="2"/>
      <c r="G23" s="2"/>
      <c r="H23" s="2"/>
    </row>
    <row r="24" ht="15.75" customHeight="1">
      <c r="A24" s="2"/>
      <c r="B24" s="2"/>
      <c r="C24" s="2"/>
      <c r="D24" s="2"/>
      <c r="E24" s="2"/>
      <c r="F24" s="2"/>
      <c r="G24" s="2"/>
      <c r="H24" s="2"/>
    </row>
    <row r="25" ht="15.75" customHeight="1">
      <c r="A25" s="2"/>
      <c r="B25" s="2"/>
      <c r="C25" s="2"/>
      <c r="D25" s="2"/>
      <c r="E25" s="2"/>
      <c r="F25" s="2"/>
      <c r="G25" s="2"/>
      <c r="H25" s="2"/>
    </row>
    <row r="26" ht="15.75" customHeight="1">
      <c r="A26" s="2"/>
      <c r="B26" s="2"/>
      <c r="C26" s="2"/>
      <c r="D26" s="2"/>
      <c r="E26" s="2"/>
      <c r="F26" s="2"/>
      <c r="G26" s="2"/>
      <c r="H26" s="2"/>
    </row>
    <row r="27" ht="15.75" customHeight="1">
      <c r="A27" s="2"/>
      <c r="B27" s="2"/>
      <c r="C27" s="2"/>
      <c r="D27" s="2"/>
      <c r="E27" s="2"/>
      <c r="F27" s="2"/>
      <c r="G27" s="2"/>
      <c r="H27" s="2"/>
    </row>
    <row r="28" ht="15.75" customHeight="1">
      <c r="A28" s="2"/>
      <c r="B28" s="2"/>
      <c r="C28" s="2"/>
      <c r="D28" s="2"/>
      <c r="E28" s="2"/>
      <c r="F28" s="2"/>
      <c r="G28" s="2"/>
      <c r="H28" s="2"/>
    </row>
    <row r="29" ht="15.75" customHeight="1">
      <c r="A29" s="2"/>
      <c r="B29" s="2"/>
      <c r="C29" s="2"/>
      <c r="D29" s="2"/>
      <c r="E29" s="2"/>
      <c r="F29" s="2"/>
      <c r="G29" s="2"/>
      <c r="H29" s="2"/>
    </row>
    <row r="30" ht="15.75" customHeight="1">
      <c r="A30" s="2"/>
      <c r="B30" s="2"/>
      <c r="C30" s="2"/>
      <c r="D30" s="2"/>
      <c r="E30" s="2"/>
      <c r="F30" s="2"/>
      <c r="G30" s="2"/>
      <c r="H30" s="2"/>
    </row>
    <row r="31" ht="15.75" customHeight="1">
      <c r="A31" s="2"/>
      <c r="B31" s="2"/>
      <c r="C31" s="2"/>
      <c r="D31" s="2"/>
      <c r="E31" s="2"/>
      <c r="F31" s="2"/>
      <c r="G31" s="2"/>
      <c r="H31" s="2"/>
    </row>
    <row r="32" ht="15.75" customHeight="1">
      <c r="A32" s="2"/>
      <c r="B32" s="2"/>
      <c r="C32" s="2"/>
      <c r="D32" s="2"/>
      <c r="E32" s="2"/>
      <c r="F32" s="2"/>
      <c r="G32" s="2"/>
      <c r="H32" s="2"/>
    </row>
    <row r="33" ht="15.75" customHeight="1">
      <c r="A33" s="2"/>
      <c r="B33" s="2"/>
      <c r="C33" s="2"/>
      <c r="D33" s="2"/>
      <c r="E33" s="2"/>
      <c r="F33" s="2"/>
      <c r="G33" s="2"/>
      <c r="H33" s="2"/>
    </row>
    <row r="34" ht="15.75" customHeight="1">
      <c r="A34" s="2"/>
      <c r="B34" s="2"/>
      <c r="C34" s="2"/>
      <c r="D34" s="2"/>
      <c r="E34" s="2"/>
      <c r="F34" s="2"/>
      <c r="G34" s="2"/>
      <c r="H34" s="2"/>
    </row>
    <row r="35" ht="15.75" customHeight="1">
      <c r="A35" s="2"/>
      <c r="B35" s="2"/>
      <c r="C35" s="2"/>
      <c r="D35" s="2"/>
      <c r="E35" s="2"/>
      <c r="F35" s="2"/>
      <c r="G35" s="2"/>
      <c r="H35" s="2"/>
    </row>
    <row r="36" ht="15.75" customHeight="1">
      <c r="A36" s="2"/>
      <c r="B36" s="2"/>
      <c r="C36" s="2"/>
      <c r="D36" s="2"/>
      <c r="E36" s="2"/>
      <c r="F36" s="2"/>
      <c r="G36" s="2"/>
      <c r="H36" s="2"/>
    </row>
    <row r="37" ht="15.75" customHeight="1">
      <c r="A37" s="2"/>
      <c r="B37" s="2"/>
      <c r="C37" s="2"/>
      <c r="D37" s="2"/>
      <c r="E37" s="2"/>
      <c r="F37" s="2"/>
      <c r="G37" s="2"/>
      <c r="H37" s="2"/>
    </row>
    <row r="38" ht="15.75" customHeight="1">
      <c r="A38" s="2"/>
      <c r="B38" s="2"/>
      <c r="C38" s="2"/>
      <c r="D38" s="2"/>
      <c r="E38" s="2"/>
      <c r="F38" s="2"/>
      <c r="G38" s="2"/>
      <c r="H38" s="2"/>
    </row>
    <row r="39" ht="15.75" customHeight="1">
      <c r="A39" s="2"/>
      <c r="B39" s="2"/>
      <c r="C39" s="2"/>
      <c r="D39" s="2"/>
      <c r="E39" s="2"/>
      <c r="F39" s="2"/>
      <c r="G39" s="2"/>
      <c r="H39" s="2"/>
    </row>
    <row r="40" ht="15.75" customHeight="1">
      <c r="A40" s="2"/>
      <c r="B40" s="2"/>
      <c r="C40" s="2"/>
      <c r="D40" s="2"/>
      <c r="E40" s="2"/>
      <c r="F40" s="2"/>
      <c r="G40" s="2"/>
      <c r="H40" s="2"/>
    </row>
    <row r="41" ht="15.75" customHeight="1">
      <c r="A41" s="2"/>
      <c r="B41" s="2"/>
      <c r="C41" s="2"/>
      <c r="D41" s="2"/>
      <c r="E41" s="2"/>
      <c r="F41" s="2"/>
      <c r="G41" s="2"/>
      <c r="H41" s="2"/>
    </row>
    <row r="42" ht="15.75" customHeight="1">
      <c r="A42" s="2"/>
      <c r="B42" s="2"/>
      <c r="C42" s="2"/>
      <c r="D42" s="2"/>
      <c r="E42" s="2"/>
      <c r="F42" s="2"/>
      <c r="G42" s="2"/>
      <c r="H42" s="2"/>
    </row>
    <row r="43" ht="15.75" customHeight="1">
      <c r="A43" s="2"/>
      <c r="B43" s="2"/>
      <c r="C43" s="2"/>
      <c r="D43" s="2"/>
      <c r="E43" s="2"/>
      <c r="F43" s="2"/>
      <c r="G43" s="2"/>
      <c r="H43" s="2"/>
    </row>
    <row r="44" ht="15.75" customHeight="1">
      <c r="A44" s="2"/>
      <c r="B44" s="2"/>
      <c r="C44" s="2"/>
      <c r="D44" s="2"/>
      <c r="E44" s="2"/>
      <c r="F44" s="2"/>
      <c r="G44" s="2"/>
      <c r="H44" s="2"/>
    </row>
    <row r="45" ht="15.75" customHeight="1">
      <c r="A45" s="2"/>
      <c r="B45" s="2"/>
      <c r="C45" s="2"/>
      <c r="D45" s="2"/>
      <c r="E45" s="2"/>
      <c r="F45" s="2"/>
      <c r="G45" s="2"/>
      <c r="H45" s="2"/>
    </row>
    <row r="46" ht="15.75" customHeight="1">
      <c r="A46" s="2"/>
      <c r="B46" s="2"/>
      <c r="C46" s="2"/>
      <c r="D46" s="2"/>
      <c r="E46" s="2"/>
      <c r="F46" s="2"/>
      <c r="G46" s="2"/>
      <c r="H46" s="2"/>
    </row>
    <row r="47" ht="15.75" customHeight="1">
      <c r="A47" s="2"/>
      <c r="B47" s="2"/>
      <c r="C47" s="2"/>
      <c r="D47" s="2"/>
      <c r="E47" s="2"/>
      <c r="F47" s="2"/>
      <c r="G47" s="2"/>
      <c r="H47" s="2"/>
    </row>
    <row r="48" ht="15.75" customHeight="1">
      <c r="A48" s="2"/>
      <c r="B48" s="2"/>
      <c r="C48" s="2"/>
      <c r="D48" s="2"/>
      <c r="E48" s="2"/>
      <c r="F48" s="2"/>
      <c r="G48" s="2"/>
      <c r="H48" s="2"/>
    </row>
    <row r="49" ht="15.75" customHeight="1">
      <c r="A49" s="2"/>
      <c r="B49" s="2"/>
      <c r="C49" s="2"/>
      <c r="D49" s="2"/>
      <c r="E49" s="2"/>
      <c r="F49" s="2"/>
      <c r="G49" s="2"/>
      <c r="H49" s="2"/>
    </row>
    <row r="50" ht="15.75" customHeight="1">
      <c r="A50" s="2"/>
      <c r="B50" s="2"/>
      <c r="C50" s="2"/>
      <c r="D50" s="2"/>
      <c r="E50" s="2"/>
      <c r="F50" s="2"/>
      <c r="G50" s="2"/>
      <c r="H50" s="2"/>
    </row>
    <row r="51" ht="15.75" customHeight="1">
      <c r="A51" s="2"/>
      <c r="B51" s="2"/>
      <c r="C51" s="2"/>
      <c r="D51" s="2"/>
      <c r="E51" s="2"/>
      <c r="F51" s="2"/>
      <c r="G51" s="2"/>
      <c r="H51" s="2"/>
    </row>
    <row r="52" ht="15.75" customHeight="1">
      <c r="A52" s="2"/>
      <c r="B52" s="2"/>
      <c r="C52" s="2"/>
      <c r="D52" s="2"/>
      <c r="E52" s="2"/>
      <c r="F52" s="2"/>
      <c r="G52" s="2"/>
      <c r="H52" s="2"/>
    </row>
    <row r="53" ht="15.75" customHeight="1">
      <c r="A53" s="2"/>
      <c r="B53" s="2"/>
      <c r="C53" s="2"/>
      <c r="D53" s="2"/>
      <c r="E53" s="2"/>
      <c r="F53" s="2"/>
      <c r="G53" s="2"/>
      <c r="H53" s="2"/>
    </row>
    <row r="54" ht="15.75" customHeight="1">
      <c r="A54" s="2"/>
      <c r="B54" s="2"/>
      <c r="C54" s="2"/>
      <c r="D54" s="2"/>
      <c r="E54" s="2"/>
      <c r="F54" s="2"/>
      <c r="G54" s="2"/>
      <c r="H54" s="2"/>
    </row>
    <row r="55" ht="15.75" customHeight="1">
      <c r="A55" s="2"/>
      <c r="B55" s="2"/>
      <c r="C55" s="2"/>
      <c r="D55" s="2"/>
      <c r="E55" s="2"/>
      <c r="F55" s="2"/>
      <c r="G55" s="2"/>
      <c r="H55" s="2"/>
    </row>
    <row r="56" ht="15.75" customHeight="1">
      <c r="A56" s="2"/>
      <c r="B56" s="2"/>
      <c r="C56" s="2"/>
      <c r="D56" s="2"/>
      <c r="E56" s="2"/>
      <c r="F56" s="2"/>
      <c r="G56" s="2"/>
      <c r="H56" s="2"/>
    </row>
    <row r="57" ht="15.75" customHeight="1">
      <c r="A57" s="2"/>
      <c r="B57" s="2"/>
      <c r="C57" s="2"/>
      <c r="D57" s="2"/>
      <c r="E57" s="2"/>
      <c r="F57" s="2"/>
      <c r="G57" s="2"/>
      <c r="H57" s="2"/>
    </row>
    <row r="58" ht="15.75" customHeight="1">
      <c r="A58" s="2"/>
      <c r="B58" s="2"/>
      <c r="C58" s="2"/>
      <c r="D58" s="2"/>
      <c r="E58" s="2"/>
      <c r="F58" s="2"/>
      <c r="G58" s="2"/>
      <c r="H58" s="2"/>
    </row>
    <row r="59" ht="15.75" customHeight="1">
      <c r="A59" s="2"/>
      <c r="B59" s="2"/>
      <c r="C59" s="2"/>
      <c r="D59" s="2"/>
      <c r="E59" s="2"/>
      <c r="F59" s="2"/>
      <c r="G59" s="2"/>
      <c r="H59" s="2"/>
    </row>
    <row r="60" ht="15.75" customHeight="1">
      <c r="A60" s="2"/>
      <c r="B60" s="2"/>
      <c r="C60" s="2"/>
      <c r="D60" s="2"/>
      <c r="E60" s="2"/>
      <c r="F60" s="2"/>
      <c r="G60" s="2"/>
      <c r="H60" s="2"/>
    </row>
    <row r="61" ht="15.75" customHeight="1">
      <c r="A61" s="2"/>
      <c r="B61" s="2"/>
      <c r="C61" s="2"/>
      <c r="D61" s="2"/>
      <c r="E61" s="2"/>
      <c r="F61" s="2"/>
      <c r="G61" s="2"/>
      <c r="H61" s="2"/>
    </row>
    <row r="62" ht="15.75" customHeight="1">
      <c r="A62" s="2"/>
      <c r="B62" s="2"/>
      <c r="C62" s="2"/>
      <c r="D62" s="2"/>
      <c r="E62" s="2"/>
      <c r="F62" s="2"/>
      <c r="G62" s="2"/>
      <c r="H62" s="2"/>
    </row>
    <row r="63" ht="15.75" customHeight="1">
      <c r="A63" s="2"/>
      <c r="B63" s="2"/>
      <c r="C63" s="2"/>
      <c r="D63" s="2"/>
      <c r="E63" s="2"/>
      <c r="F63" s="2"/>
      <c r="G63" s="2"/>
      <c r="H63" s="2"/>
    </row>
    <row r="64" ht="15.75" customHeight="1">
      <c r="A64" s="2"/>
      <c r="B64" s="2"/>
      <c r="C64" s="2"/>
      <c r="D64" s="2"/>
      <c r="E64" s="2"/>
      <c r="F64" s="2"/>
      <c r="G64" s="2"/>
      <c r="H64" s="2"/>
    </row>
    <row r="65" ht="15.75" customHeight="1">
      <c r="A65" s="2"/>
      <c r="B65" s="2"/>
      <c r="C65" s="2"/>
      <c r="D65" s="2"/>
      <c r="E65" s="2"/>
      <c r="F65" s="2"/>
      <c r="G65" s="2"/>
      <c r="H65" s="2"/>
    </row>
    <row r="66" ht="15.75" customHeight="1">
      <c r="A66" s="2"/>
      <c r="B66" s="2"/>
      <c r="C66" s="2"/>
      <c r="D66" s="2"/>
      <c r="E66" s="2"/>
      <c r="F66" s="2"/>
      <c r="G66" s="2"/>
      <c r="H66" s="2"/>
    </row>
    <row r="67" ht="15.75" customHeight="1">
      <c r="A67" s="2"/>
      <c r="B67" s="2"/>
      <c r="C67" s="2"/>
      <c r="D67" s="2"/>
      <c r="E67" s="2"/>
      <c r="F67" s="2"/>
      <c r="G67" s="2"/>
      <c r="H67" s="2"/>
    </row>
    <row r="68" ht="15.75" customHeight="1">
      <c r="A68" s="2"/>
      <c r="B68" s="2"/>
      <c r="C68" s="2"/>
      <c r="D68" s="2"/>
      <c r="E68" s="2"/>
      <c r="F68" s="2"/>
      <c r="G68" s="2"/>
      <c r="H68" s="2"/>
    </row>
    <row r="69" ht="15.75" customHeight="1">
      <c r="A69" s="2"/>
      <c r="B69" s="2"/>
      <c r="C69" s="2"/>
      <c r="D69" s="2"/>
      <c r="E69" s="2"/>
      <c r="F69" s="2"/>
      <c r="G69" s="2"/>
      <c r="H69" s="2"/>
    </row>
    <row r="70" ht="15.75" customHeight="1">
      <c r="A70" s="2"/>
      <c r="B70" s="2"/>
      <c r="C70" s="2"/>
      <c r="D70" s="2"/>
      <c r="E70" s="2"/>
      <c r="F70" s="2"/>
      <c r="G70" s="2"/>
      <c r="H70" s="2"/>
    </row>
    <row r="71" ht="15.75" customHeight="1">
      <c r="A71" s="2"/>
      <c r="B71" s="2"/>
      <c r="C71" s="2"/>
      <c r="D71" s="2"/>
      <c r="E71" s="2"/>
      <c r="F71" s="2"/>
      <c r="G71" s="2"/>
      <c r="H71" s="2"/>
    </row>
    <row r="72" ht="15.75" customHeight="1">
      <c r="A72" s="2"/>
      <c r="B72" s="2"/>
      <c r="C72" s="2"/>
      <c r="D72" s="2"/>
      <c r="E72" s="2"/>
      <c r="F72" s="2"/>
      <c r="G72" s="2"/>
      <c r="H72" s="2"/>
    </row>
    <row r="73" ht="15.75" customHeight="1">
      <c r="A73" s="2"/>
      <c r="B73" s="2"/>
      <c r="C73" s="2"/>
      <c r="D73" s="2"/>
      <c r="E73" s="2"/>
      <c r="F73" s="2"/>
      <c r="G73" s="2"/>
      <c r="H73" s="2"/>
    </row>
    <row r="74" ht="15.75" customHeight="1">
      <c r="A74" s="2"/>
      <c r="B74" s="2"/>
      <c r="C74" s="2"/>
      <c r="D74" s="2"/>
      <c r="E74" s="2"/>
      <c r="F74" s="2"/>
      <c r="G74" s="2"/>
      <c r="H74" s="2"/>
    </row>
    <row r="75" ht="15.75" customHeight="1">
      <c r="A75" s="2"/>
      <c r="B75" s="2"/>
      <c r="C75" s="2"/>
      <c r="D75" s="2"/>
      <c r="E75" s="2"/>
      <c r="F75" s="2"/>
      <c r="G75" s="2"/>
      <c r="H75" s="2"/>
    </row>
    <row r="76" ht="15.75" customHeight="1">
      <c r="A76" s="2"/>
      <c r="B76" s="2"/>
      <c r="C76" s="2"/>
      <c r="D76" s="2"/>
      <c r="E76" s="2"/>
      <c r="F76" s="2"/>
      <c r="G76" s="2"/>
      <c r="H76" s="2"/>
    </row>
    <row r="77" ht="15.75" customHeight="1">
      <c r="A77" s="2"/>
      <c r="B77" s="2"/>
      <c r="C77" s="2"/>
      <c r="D77" s="2"/>
      <c r="E77" s="2"/>
      <c r="F77" s="2"/>
      <c r="G77" s="2"/>
      <c r="H77" s="2"/>
    </row>
    <row r="78" ht="15.75" customHeight="1">
      <c r="A78" s="2"/>
      <c r="B78" s="2"/>
      <c r="C78" s="2"/>
      <c r="D78" s="2"/>
      <c r="E78" s="2"/>
      <c r="F78" s="2"/>
      <c r="G78" s="2"/>
      <c r="H78" s="2"/>
    </row>
    <row r="79" ht="15.75" customHeight="1">
      <c r="A79" s="2"/>
      <c r="B79" s="2"/>
      <c r="C79" s="2"/>
      <c r="D79" s="2"/>
      <c r="E79" s="2"/>
      <c r="F79" s="2"/>
      <c r="G79" s="2"/>
      <c r="H79" s="2"/>
    </row>
    <row r="80" ht="15.75" customHeight="1">
      <c r="A80" s="2"/>
      <c r="B80" s="2"/>
      <c r="C80" s="2"/>
      <c r="D80" s="2"/>
      <c r="E80" s="2"/>
      <c r="F80" s="2"/>
      <c r="G80" s="2"/>
      <c r="H80" s="2"/>
    </row>
    <row r="81" ht="15.75" customHeight="1">
      <c r="A81" s="2"/>
      <c r="B81" s="2"/>
      <c r="C81" s="2"/>
      <c r="D81" s="2"/>
      <c r="E81" s="2"/>
      <c r="F81" s="2"/>
      <c r="G81" s="2"/>
      <c r="H81" s="2"/>
    </row>
    <row r="82" ht="15.75" customHeight="1">
      <c r="A82" s="2"/>
      <c r="B82" s="2"/>
      <c r="C82" s="2"/>
      <c r="D82" s="2"/>
      <c r="E82" s="2"/>
      <c r="F82" s="2"/>
      <c r="G82" s="2"/>
      <c r="H82" s="2"/>
    </row>
    <row r="83" ht="15.75" customHeight="1">
      <c r="A83" s="2"/>
      <c r="B83" s="2"/>
      <c r="C83" s="2"/>
      <c r="D83" s="2"/>
      <c r="E83" s="2"/>
      <c r="F83" s="2"/>
      <c r="G83" s="2"/>
      <c r="H83" s="2"/>
    </row>
    <row r="84" ht="15.75" customHeight="1">
      <c r="A84" s="2"/>
      <c r="B84" s="2"/>
      <c r="C84" s="2"/>
      <c r="D84" s="2"/>
      <c r="E84" s="2"/>
      <c r="F84" s="2"/>
      <c r="G84" s="2"/>
      <c r="H84" s="2"/>
    </row>
    <row r="85" ht="15.75" customHeight="1">
      <c r="A85" s="2"/>
      <c r="B85" s="2"/>
      <c r="C85" s="2"/>
      <c r="D85" s="2"/>
      <c r="E85" s="2"/>
      <c r="F85" s="2"/>
      <c r="G85" s="2"/>
      <c r="H85" s="2"/>
    </row>
    <row r="86" ht="15.75" customHeight="1">
      <c r="A86" s="2"/>
      <c r="B86" s="2"/>
      <c r="C86" s="2"/>
      <c r="D86" s="2"/>
      <c r="E86" s="2"/>
      <c r="F86" s="2"/>
      <c r="G86" s="2"/>
      <c r="H86" s="2"/>
    </row>
    <row r="87" ht="15.75" customHeight="1">
      <c r="A87" s="2"/>
      <c r="B87" s="2"/>
      <c r="C87" s="2"/>
      <c r="D87" s="2"/>
      <c r="E87" s="2"/>
      <c r="F87" s="2"/>
      <c r="G87" s="2"/>
      <c r="H87" s="2"/>
    </row>
    <row r="88" ht="15.75" customHeight="1">
      <c r="A88" s="2"/>
      <c r="B88" s="2"/>
      <c r="C88" s="2"/>
      <c r="D88" s="2"/>
      <c r="E88" s="2"/>
      <c r="F88" s="2"/>
      <c r="G88" s="2"/>
      <c r="H88" s="2"/>
    </row>
    <row r="89" ht="15.75" customHeight="1">
      <c r="A89" s="2"/>
      <c r="B89" s="2"/>
      <c r="C89" s="2"/>
      <c r="D89" s="2"/>
      <c r="E89" s="2"/>
      <c r="F89" s="2"/>
      <c r="G89" s="2"/>
      <c r="H89" s="2"/>
    </row>
    <row r="90" ht="15.75" customHeight="1">
      <c r="A90" s="2"/>
      <c r="B90" s="2"/>
      <c r="C90" s="2"/>
      <c r="D90" s="2"/>
      <c r="E90" s="2"/>
      <c r="F90" s="2"/>
      <c r="G90" s="2"/>
      <c r="H90" s="2"/>
    </row>
    <row r="91" ht="15.75" customHeight="1">
      <c r="A91" s="2"/>
      <c r="B91" s="2"/>
      <c r="C91" s="2"/>
      <c r="D91" s="2"/>
      <c r="E91" s="2"/>
      <c r="F91" s="2"/>
      <c r="G91" s="2"/>
      <c r="H91" s="2"/>
    </row>
    <row r="92" ht="15.75" customHeight="1">
      <c r="A92" s="2"/>
      <c r="B92" s="2"/>
      <c r="C92" s="2"/>
      <c r="D92" s="2"/>
      <c r="E92" s="2"/>
      <c r="F92" s="2"/>
      <c r="G92" s="2"/>
      <c r="H92" s="2"/>
    </row>
    <row r="93" ht="15.75" customHeight="1">
      <c r="A93" s="2"/>
      <c r="B93" s="2"/>
      <c r="C93" s="2"/>
      <c r="D93" s="2"/>
      <c r="E93" s="2"/>
      <c r="F93" s="2"/>
      <c r="G93" s="2"/>
      <c r="H93" s="2"/>
    </row>
    <row r="94" ht="15.75" customHeight="1">
      <c r="A94" s="2"/>
      <c r="B94" s="2"/>
      <c r="C94" s="2"/>
      <c r="D94" s="2"/>
      <c r="E94" s="2"/>
      <c r="F94" s="2"/>
      <c r="G94" s="2"/>
      <c r="H94" s="2"/>
    </row>
    <row r="95" ht="15.75" customHeight="1">
      <c r="A95" s="2"/>
      <c r="B95" s="2"/>
      <c r="C95" s="2"/>
      <c r="D95" s="2"/>
      <c r="E95" s="2"/>
      <c r="F95" s="2"/>
      <c r="G95" s="2"/>
      <c r="H95" s="2"/>
    </row>
    <row r="96" ht="15.75" customHeight="1">
      <c r="A96" s="2"/>
      <c r="B96" s="2"/>
      <c r="C96" s="2"/>
      <c r="D96" s="2"/>
      <c r="E96" s="2"/>
      <c r="F96" s="2"/>
      <c r="G96" s="2"/>
      <c r="H96" s="2"/>
    </row>
    <row r="97" ht="15.75" customHeight="1">
      <c r="A97" s="2"/>
      <c r="B97" s="2"/>
      <c r="C97" s="2"/>
      <c r="D97" s="2"/>
      <c r="E97" s="2"/>
      <c r="F97" s="2"/>
      <c r="G97" s="2"/>
      <c r="H97" s="2"/>
    </row>
    <row r="98" ht="15.75" customHeight="1">
      <c r="A98" s="2"/>
      <c r="B98" s="2"/>
      <c r="C98" s="2"/>
      <c r="D98" s="2"/>
      <c r="E98" s="2"/>
      <c r="F98" s="2"/>
      <c r="G98" s="2"/>
      <c r="H98" s="2"/>
    </row>
    <row r="99" ht="15.75" customHeight="1">
      <c r="A99" s="2"/>
      <c r="B99" s="2"/>
      <c r="C99" s="2"/>
      <c r="D99" s="2"/>
      <c r="E99" s="2"/>
      <c r="F99" s="2"/>
      <c r="G99" s="2"/>
      <c r="H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</row>
  </sheetData>
  <printOptions/>
  <pageMargins bottom="1.0" footer="0.0" header="0.0" left="0.75" right="0.75" top="1.0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4.0"/>
    <col customWidth="1" min="3" max="3" width="22.0"/>
    <col customWidth="1" min="4" max="4" width="30.0"/>
    <col customWidth="1" min="5" max="5" width="18.0"/>
    <col customWidth="1" min="6" max="6" width="13.0"/>
    <col customWidth="1" min="7" max="7" width="20.0"/>
    <col customWidth="1" min="8" max="8" width="24.0"/>
  </cols>
  <sheetData>
    <row r="1">
      <c r="A1" s="18" t="s">
        <v>461</v>
      </c>
      <c r="B1" s="2"/>
      <c r="C1" s="2"/>
      <c r="D1" s="2"/>
      <c r="E1" s="2"/>
      <c r="F1" s="2"/>
      <c r="G1" s="2"/>
      <c r="H1" s="2"/>
    </row>
    <row r="2">
      <c r="A2" s="19" t="s">
        <v>462</v>
      </c>
      <c r="B2" s="2"/>
      <c r="C2" s="2"/>
      <c r="D2" s="2"/>
      <c r="E2" s="2"/>
      <c r="F2" s="2"/>
      <c r="G2" s="2"/>
      <c r="H2" s="2"/>
    </row>
    <row r="3">
      <c r="A3" s="2"/>
      <c r="B3" s="2"/>
      <c r="C3" s="2"/>
      <c r="D3" s="2"/>
      <c r="E3" s="2"/>
      <c r="F3" s="2"/>
      <c r="G3" s="2"/>
      <c r="H3" s="2"/>
    </row>
    <row r="4">
      <c r="A4" s="20" t="s">
        <v>81</v>
      </c>
      <c r="B4" s="20" t="s">
        <v>82</v>
      </c>
      <c r="C4" s="20" t="s">
        <v>83</v>
      </c>
      <c r="D4" s="20" t="s">
        <v>84</v>
      </c>
      <c r="E4" s="20" t="s">
        <v>85</v>
      </c>
      <c r="F4" s="20" t="s">
        <v>86</v>
      </c>
      <c r="G4" s="20" t="s">
        <v>87</v>
      </c>
      <c r="H4" s="20" t="s">
        <v>9</v>
      </c>
    </row>
    <row r="5">
      <c r="A5" s="5">
        <v>1.0</v>
      </c>
      <c r="B5" s="5" t="s">
        <v>62</v>
      </c>
      <c r="C5" s="5">
        <v>60.0</v>
      </c>
      <c r="D5" s="6" t="s">
        <v>463</v>
      </c>
      <c r="E5" s="5" t="str">
        <f>C5</f>
        <v>60</v>
      </c>
      <c r="F5" s="5" t="str">
        <f t="shared" ref="F5:F13" si="1">540-E5</f>
        <v>480</v>
      </c>
      <c r="G5" s="8" t="str">
        <f t="shared" ref="G5:G13" si="2">E5/540</f>
        <v>11.1%</v>
      </c>
      <c r="H5" s="5" t="str">
        <f t="shared" ref="H5:H13" si="3">IF(G5&gt;=1, "100.0% (Package Over)", TEXT(MIN(G5*100, 99.9), "0.0") &amp; "%")</f>
        <v>11.1%</v>
      </c>
    </row>
    <row r="6">
      <c r="A6" s="5">
        <v>2.0</v>
      </c>
      <c r="B6" s="5" t="s">
        <v>64</v>
      </c>
      <c r="C6" s="5">
        <v>60.0</v>
      </c>
      <c r="D6" s="6" t="s">
        <v>464</v>
      </c>
      <c r="E6" s="5" t="str">
        <f t="shared" ref="E6:E13" si="4">E5+C6</f>
        <v>120</v>
      </c>
      <c r="F6" s="5" t="str">
        <f t="shared" si="1"/>
        <v>420</v>
      </c>
      <c r="G6" s="8" t="str">
        <f t="shared" si="2"/>
        <v>22.2%</v>
      </c>
      <c r="H6" s="5" t="str">
        <f t="shared" si="3"/>
        <v>22.2%</v>
      </c>
    </row>
    <row r="7">
      <c r="A7" s="5">
        <v>3.0</v>
      </c>
      <c r="B7" s="5" t="s">
        <v>64</v>
      </c>
      <c r="C7" s="5">
        <v>60.0</v>
      </c>
      <c r="D7" s="6" t="s">
        <v>465</v>
      </c>
      <c r="E7" s="5" t="str">
        <f t="shared" si="4"/>
        <v>180</v>
      </c>
      <c r="F7" s="5" t="str">
        <f t="shared" si="1"/>
        <v>360</v>
      </c>
      <c r="G7" s="8" t="str">
        <f t="shared" si="2"/>
        <v>33.3%</v>
      </c>
      <c r="H7" s="5" t="str">
        <f t="shared" si="3"/>
        <v>33.3%</v>
      </c>
    </row>
    <row r="8">
      <c r="A8" s="5">
        <v>4.0</v>
      </c>
      <c r="B8" s="5" t="s">
        <v>75</v>
      </c>
      <c r="C8" s="5">
        <v>60.0</v>
      </c>
      <c r="D8" s="6" t="s">
        <v>464</v>
      </c>
      <c r="E8" s="5" t="str">
        <f t="shared" si="4"/>
        <v>240</v>
      </c>
      <c r="F8" s="5" t="str">
        <f t="shared" si="1"/>
        <v>300</v>
      </c>
      <c r="G8" s="8" t="str">
        <f t="shared" si="2"/>
        <v>44.4%</v>
      </c>
      <c r="H8" s="5" t="str">
        <f t="shared" si="3"/>
        <v>44.4%</v>
      </c>
    </row>
    <row r="9">
      <c r="A9" s="5">
        <v>5.0</v>
      </c>
      <c r="B9" s="5" t="s">
        <v>75</v>
      </c>
      <c r="C9" s="5">
        <v>60.0</v>
      </c>
      <c r="D9" s="6" t="s">
        <v>465</v>
      </c>
      <c r="E9" s="5" t="str">
        <f t="shared" si="4"/>
        <v>300</v>
      </c>
      <c r="F9" s="5" t="str">
        <f t="shared" si="1"/>
        <v>240</v>
      </c>
      <c r="G9" s="8" t="str">
        <f t="shared" si="2"/>
        <v>55.6%</v>
      </c>
      <c r="H9" s="5" t="str">
        <f t="shared" si="3"/>
        <v>55.6%</v>
      </c>
    </row>
    <row r="10">
      <c r="A10" s="5">
        <v>6.0</v>
      </c>
      <c r="B10" s="5" t="s">
        <v>223</v>
      </c>
      <c r="C10" s="5">
        <v>60.0</v>
      </c>
      <c r="D10" s="6" t="s">
        <v>464</v>
      </c>
      <c r="E10" s="5" t="str">
        <f t="shared" si="4"/>
        <v>360</v>
      </c>
      <c r="F10" s="5" t="str">
        <f t="shared" si="1"/>
        <v>180</v>
      </c>
      <c r="G10" s="8" t="str">
        <f t="shared" si="2"/>
        <v>66.7%</v>
      </c>
      <c r="H10" s="5" t="str">
        <f t="shared" si="3"/>
        <v>66.7%</v>
      </c>
    </row>
    <row r="11">
      <c r="A11" s="5">
        <v>7.0</v>
      </c>
      <c r="B11" s="5" t="s">
        <v>223</v>
      </c>
      <c r="C11" s="5">
        <v>60.0</v>
      </c>
      <c r="D11" s="6" t="s">
        <v>463</v>
      </c>
      <c r="E11" s="5" t="str">
        <f t="shared" si="4"/>
        <v>420</v>
      </c>
      <c r="F11" s="5" t="str">
        <f t="shared" si="1"/>
        <v>120</v>
      </c>
      <c r="G11" s="8" t="str">
        <f t="shared" si="2"/>
        <v>77.8%</v>
      </c>
      <c r="H11" s="5" t="str">
        <f t="shared" si="3"/>
        <v>77.8%</v>
      </c>
    </row>
    <row r="12">
      <c r="A12" s="5">
        <v>8.0</v>
      </c>
      <c r="B12" s="5" t="s">
        <v>466</v>
      </c>
      <c r="C12" s="5">
        <v>60.0</v>
      </c>
      <c r="D12" s="6" t="s">
        <v>467</v>
      </c>
      <c r="E12" s="5" t="str">
        <f t="shared" si="4"/>
        <v>480</v>
      </c>
      <c r="F12" s="5" t="str">
        <f t="shared" si="1"/>
        <v>60</v>
      </c>
      <c r="G12" s="8" t="str">
        <f t="shared" si="2"/>
        <v>88.9%</v>
      </c>
      <c r="H12" s="5" t="str">
        <f t="shared" si="3"/>
        <v>88.9%</v>
      </c>
    </row>
    <row r="13">
      <c r="A13" s="5">
        <v>9.0</v>
      </c>
      <c r="B13" s="5" t="s">
        <v>466</v>
      </c>
      <c r="C13" s="5">
        <v>60.0</v>
      </c>
      <c r="D13" s="6" t="s">
        <v>468</v>
      </c>
      <c r="E13" s="5" t="str">
        <f t="shared" si="4"/>
        <v>540</v>
      </c>
      <c r="F13" s="5" t="str">
        <f t="shared" si="1"/>
        <v>0</v>
      </c>
      <c r="G13" s="8" t="str">
        <f t="shared" si="2"/>
        <v>100.0%</v>
      </c>
      <c r="H13" s="5" t="str">
        <f t="shared" si="3"/>
        <v>100.0% (Package Over)</v>
      </c>
    </row>
    <row r="14">
      <c r="A14" s="2"/>
      <c r="B14" s="2"/>
      <c r="C14" s="2"/>
      <c r="D14" s="2"/>
      <c r="E14" s="2"/>
      <c r="F14" s="2"/>
      <c r="G14" s="2"/>
      <c r="H14" s="2"/>
    </row>
    <row r="15">
      <c r="A15" s="2"/>
      <c r="B15" s="2"/>
      <c r="C15" s="2"/>
      <c r="D15" s="2"/>
      <c r="E15" s="2"/>
      <c r="F15" s="2"/>
      <c r="G15" s="2"/>
      <c r="H15" s="2"/>
    </row>
    <row r="16">
      <c r="A16" s="2"/>
      <c r="B16" s="2"/>
      <c r="C16" s="2"/>
      <c r="D16" s="2"/>
      <c r="E16" s="2"/>
      <c r="F16" s="2"/>
      <c r="G16" s="2"/>
      <c r="H16" s="2"/>
    </row>
    <row r="17">
      <c r="A17" s="2"/>
      <c r="B17" s="2"/>
      <c r="C17" s="2"/>
      <c r="D17" s="2"/>
      <c r="E17" s="2"/>
      <c r="F17" s="2"/>
      <c r="G17" s="2"/>
      <c r="H17" s="2"/>
    </row>
    <row r="18">
      <c r="A18" s="2"/>
      <c r="B18" s="2"/>
      <c r="C18" s="2"/>
      <c r="D18" s="2"/>
      <c r="E18" s="2"/>
      <c r="F18" s="2"/>
      <c r="G18" s="2"/>
      <c r="H18" s="2"/>
    </row>
    <row r="19">
      <c r="A19" s="2"/>
      <c r="B19" s="2"/>
      <c r="C19" s="2"/>
      <c r="D19" s="2"/>
      <c r="E19" s="2"/>
      <c r="F19" s="2"/>
      <c r="G19" s="2"/>
      <c r="H19" s="2"/>
    </row>
    <row r="20">
      <c r="A20" s="2"/>
      <c r="B20" s="2"/>
      <c r="C20" s="2"/>
      <c r="D20" s="2"/>
      <c r="E20" s="2"/>
      <c r="F20" s="2"/>
      <c r="G20" s="2"/>
      <c r="H20" s="2"/>
    </row>
    <row r="21" ht="15.75" customHeight="1">
      <c r="A21" s="2"/>
      <c r="B21" s="2"/>
      <c r="C21" s="2"/>
      <c r="D21" s="2"/>
      <c r="E21" s="2"/>
      <c r="F21" s="2"/>
      <c r="G21" s="2"/>
      <c r="H21" s="2"/>
    </row>
    <row r="22" ht="15.75" customHeight="1">
      <c r="A22" s="2"/>
      <c r="B22" s="2"/>
      <c r="C22" s="2"/>
      <c r="D22" s="2"/>
      <c r="E22" s="2"/>
      <c r="F22" s="2"/>
      <c r="G22" s="2"/>
      <c r="H22" s="2"/>
    </row>
    <row r="23" ht="15.75" customHeight="1">
      <c r="A23" s="2"/>
      <c r="B23" s="2"/>
      <c r="C23" s="2"/>
      <c r="D23" s="2"/>
      <c r="E23" s="2"/>
      <c r="F23" s="2"/>
      <c r="G23" s="2"/>
      <c r="H23" s="2"/>
    </row>
    <row r="24" ht="15.75" customHeight="1">
      <c r="A24" s="2"/>
      <c r="B24" s="2"/>
      <c r="C24" s="2"/>
      <c r="D24" s="2"/>
      <c r="E24" s="2"/>
      <c r="F24" s="2"/>
      <c r="G24" s="2"/>
      <c r="H24" s="2"/>
    </row>
    <row r="25" ht="15.75" customHeight="1">
      <c r="A25" s="2"/>
      <c r="B25" s="2"/>
      <c r="C25" s="2"/>
      <c r="D25" s="2"/>
      <c r="E25" s="2"/>
      <c r="F25" s="2"/>
      <c r="G25" s="2"/>
      <c r="H25" s="2"/>
    </row>
    <row r="26" ht="15.75" customHeight="1">
      <c r="A26" s="2"/>
      <c r="B26" s="2"/>
      <c r="C26" s="2"/>
      <c r="D26" s="2"/>
      <c r="E26" s="2"/>
      <c r="F26" s="2"/>
      <c r="G26" s="2"/>
      <c r="H26" s="2"/>
    </row>
    <row r="27" ht="15.75" customHeight="1">
      <c r="A27" s="2"/>
      <c r="B27" s="2"/>
      <c r="C27" s="2"/>
      <c r="D27" s="2"/>
      <c r="E27" s="2"/>
      <c r="F27" s="2"/>
      <c r="G27" s="2"/>
      <c r="H27" s="2"/>
    </row>
    <row r="28" ht="15.75" customHeight="1">
      <c r="A28" s="2"/>
      <c r="B28" s="2"/>
      <c r="C28" s="2"/>
      <c r="D28" s="2"/>
      <c r="E28" s="2"/>
      <c r="F28" s="2"/>
      <c r="G28" s="2"/>
      <c r="H28" s="2"/>
    </row>
    <row r="29" ht="15.75" customHeight="1">
      <c r="A29" s="2"/>
      <c r="B29" s="2"/>
      <c r="C29" s="2"/>
      <c r="D29" s="2"/>
      <c r="E29" s="2"/>
      <c r="F29" s="2"/>
      <c r="G29" s="2"/>
      <c r="H29" s="2"/>
    </row>
    <row r="30" ht="15.75" customHeight="1">
      <c r="A30" s="2"/>
      <c r="B30" s="2"/>
      <c r="C30" s="2"/>
      <c r="D30" s="2"/>
      <c r="E30" s="2"/>
      <c r="F30" s="2"/>
      <c r="G30" s="2"/>
      <c r="H30" s="2"/>
    </row>
    <row r="31" ht="15.75" customHeight="1">
      <c r="A31" s="2"/>
      <c r="B31" s="2"/>
      <c r="C31" s="2"/>
      <c r="D31" s="2"/>
      <c r="E31" s="2"/>
      <c r="F31" s="2"/>
      <c r="G31" s="2"/>
      <c r="H31" s="2"/>
    </row>
    <row r="32" ht="15.75" customHeight="1">
      <c r="A32" s="2"/>
      <c r="B32" s="2"/>
      <c r="C32" s="2"/>
      <c r="D32" s="2"/>
      <c r="E32" s="2"/>
      <c r="F32" s="2"/>
      <c r="G32" s="2"/>
      <c r="H32" s="2"/>
    </row>
    <row r="33" ht="15.75" customHeight="1">
      <c r="A33" s="2"/>
      <c r="B33" s="2"/>
      <c r="C33" s="2"/>
      <c r="D33" s="2"/>
      <c r="E33" s="2"/>
      <c r="F33" s="2"/>
      <c r="G33" s="2"/>
      <c r="H33" s="2"/>
    </row>
    <row r="34" ht="15.75" customHeight="1">
      <c r="A34" s="2"/>
      <c r="B34" s="2"/>
      <c r="C34" s="2"/>
      <c r="D34" s="2"/>
      <c r="E34" s="2"/>
      <c r="F34" s="2"/>
      <c r="G34" s="2"/>
      <c r="H34" s="2"/>
    </row>
    <row r="35" ht="15.75" customHeight="1">
      <c r="A35" s="2"/>
      <c r="B35" s="2"/>
      <c r="C35" s="2"/>
      <c r="D35" s="2"/>
      <c r="E35" s="2"/>
      <c r="F35" s="2"/>
      <c r="G35" s="2"/>
      <c r="H35" s="2"/>
    </row>
    <row r="36" ht="15.75" customHeight="1">
      <c r="A36" s="2"/>
      <c r="B36" s="2"/>
      <c r="C36" s="2"/>
      <c r="D36" s="2"/>
      <c r="E36" s="2"/>
      <c r="F36" s="2"/>
      <c r="G36" s="2"/>
      <c r="H36" s="2"/>
    </row>
    <row r="37" ht="15.75" customHeight="1">
      <c r="A37" s="2"/>
      <c r="B37" s="2"/>
      <c r="C37" s="2"/>
      <c r="D37" s="2"/>
      <c r="E37" s="2"/>
      <c r="F37" s="2"/>
      <c r="G37" s="2"/>
      <c r="H37" s="2"/>
    </row>
    <row r="38" ht="15.75" customHeight="1">
      <c r="A38" s="2"/>
      <c r="B38" s="2"/>
      <c r="C38" s="2"/>
      <c r="D38" s="2"/>
      <c r="E38" s="2"/>
      <c r="F38" s="2"/>
      <c r="G38" s="2"/>
      <c r="H38" s="2"/>
    </row>
    <row r="39" ht="15.75" customHeight="1">
      <c r="A39" s="2"/>
      <c r="B39" s="2"/>
      <c r="C39" s="2"/>
      <c r="D39" s="2"/>
      <c r="E39" s="2"/>
      <c r="F39" s="2"/>
      <c r="G39" s="2"/>
      <c r="H39" s="2"/>
    </row>
    <row r="40" ht="15.75" customHeight="1">
      <c r="A40" s="2"/>
      <c r="B40" s="2"/>
      <c r="C40" s="2"/>
      <c r="D40" s="2"/>
      <c r="E40" s="2"/>
      <c r="F40" s="2"/>
      <c r="G40" s="2"/>
      <c r="H40" s="2"/>
    </row>
    <row r="41" ht="15.75" customHeight="1">
      <c r="A41" s="2"/>
      <c r="B41" s="2"/>
      <c r="C41" s="2"/>
      <c r="D41" s="2"/>
      <c r="E41" s="2"/>
      <c r="F41" s="2"/>
      <c r="G41" s="2"/>
      <c r="H41" s="2"/>
    </row>
    <row r="42" ht="15.75" customHeight="1">
      <c r="A42" s="2"/>
      <c r="B42" s="2"/>
      <c r="C42" s="2"/>
      <c r="D42" s="2"/>
      <c r="E42" s="2"/>
      <c r="F42" s="2"/>
      <c r="G42" s="2"/>
      <c r="H42" s="2"/>
    </row>
    <row r="43" ht="15.75" customHeight="1">
      <c r="A43" s="2"/>
      <c r="B43" s="2"/>
      <c r="C43" s="2"/>
      <c r="D43" s="2"/>
      <c r="E43" s="2"/>
      <c r="F43" s="2"/>
      <c r="G43" s="2"/>
      <c r="H43" s="2"/>
    </row>
    <row r="44" ht="15.75" customHeight="1">
      <c r="A44" s="2"/>
      <c r="B44" s="2"/>
      <c r="C44" s="2"/>
      <c r="D44" s="2"/>
      <c r="E44" s="2"/>
      <c r="F44" s="2"/>
      <c r="G44" s="2"/>
      <c r="H44" s="2"/>
    </row>
    <row r="45" ht="15.75" customHeight="1">
      <c r="A45" s="2"/>
      <c r="B45" s="2"/>
      <c r="C45" s="2"/>
      <c r="D45" s="2"/>
      <c r="E45" s="2"/>
      <c r="F45" s="2"/>
      <c r="G45" s="2"/>
      <c r="H45" s="2"/>
    </row>
    <row r="46" ht="15.75" customHeight="1">
      <c r="A46" s="2"/>
      <c r="B46" s="2"/>
      <c r="C46" s="2"/>
      <c r="D46" s="2"/>
      <c r="E46" s="2"/>
      <c r="F46" s="2"/>
      <c r="G46" s="2"/>
      <c r="H46" s="2"/>
    </row>
    <row r="47" ht="15.75" customHeight="1">
      <c r="A47" s="2"/>
      <c r="B47" s="2"/>
      <c r="C47" s="2"/>
      <c r="D47" s="2"/>
      <c r="E47" s="2"/>
      <c r="F47" s="2"/>
      <c r="G47" s="2"/>
      <c r="H47" s="2"/>
    </row>
    <row r="48" ht="15.75" customHeight="1">
      <c r="A48" s="2"/>
      <c r="B48" s="2"/>
      <c r="C48" s="2"/>
      <c r="D48" s="2"/>
      <c r="E48" s="2"/>
      <c r="F48" s="2"/>
      <c r="G48" s="2"/>
      <c r="H48" s="2"/>
    </row>
    <row r="49" ht="15.75" customHeight="1">
      <c r="A49" s="2"/>
      <c r="B49" s="2"/>
      <c r="C49" s="2"/>
      <c r="D49" s="2"/>
      <c r="E49" s="2"/>
      <c r="F49" s="2"/>
      <c r="G49" s="2"/>
      <c r="H49" s="2"/>
    </row>
    <row r="50" ht="15.75" customHeight="1">
      <c r="A50" s="2"/>
      <c r="B50" s="2"/>
      <c r="C50" s="2"/>
      <c r="D50" s="2"/>
      <c r="E50" s="2"/>
      <c r="F50" s="2"/>
      <c r="G50" s="2"/>
      <c r="H50" s="2"/>
    </row>
    <row r="51" ht="15.75" customHeight="1">
      <c r="A51" s="2"/>
      <c r="B51" s="2"/>
      <c r="C51" s="2"/>
      <c r="D51" s="2"/>
      <c r="E51" s="2"/>
      <c r="F51" s="2"/>
      <c r="G51" s="2"/>
      <c r="H51" s="2"/>
    </row>
    <row r="52" ht="15.75" customHeight="1">
      <c r="A52" s="2"/>
      <c r="B52" s="2"/>
      <c r="C52" s="2"/>
      <c r="D52" s="2"/>
      <c r="E52" s="2"/>
      <c r="F52" s="2"/>
      <c r="G52" s="2"/>
      <c r="H52" s="2"/>
    </row>
    <row r="53" ht="15.75" customHeight="1">
      <c r="A53" s="2"/>
      <c r="B53" s="2"/>
      <c r="C53" s="2"/>
      <c r="D53" s="2"/>
      <c r="E53" s="2"/>
      <c r="F53" s="2"/>
      <c r="G53" s="2"/>
      <c r="H53" s="2"/>
    </row>
    <row r="54" ht="15.75" customHeight="1">
      <c r="A54" s="2"/>
      <c r="B54" s="2"/>
      <c r="C54" s="2"/>
      <c r="D54" s="2"/>
      <c r="E54" s="2"/>
      <c r="F54" s="2"/>
      <c r="G54" s="2"/>
      <c r="H54" s="2"/>
    </row>
    <row r="55" ht="15.75" customHeight="1">
      <c r="A55" s="2"/>
      <c r="B55" s="2"/>
      <c r="C55" s="2"/>
      <c r="D55" s="2"/>
      <c r="E55" s="2"/>
      <c r="F55" s="2"/>
      <c r="G55" s="2"/>
      <c r="H55" s="2"/>
    </row>
    <row r="56" ht="15.75" customHeight="1">
      <c r="A56" s="2"/>
      <c r="B56" s="2"/>
      <c r="C56" s="2"/>
      <c r="D56" s="2"/>
      <c r="E56" s="2"/>
      <c r="F56" s="2"/>
      <c r="G56" s="2"/>
      <c r="H56" s="2"/>
    </row>
    <row r="57" ht="15.75" customHeight="1">
      <c r="A57" s="2"/>
      <c r="B57" s="2"/>
      <c r="C57" s="2"/>
      <c r="D57" s="2"/>
      <c r="E57" s="2"/>
      <c r="F57" s="2"/>
      <c r="G57" s="2"/>
      <c r="H57" s="2"/>
    </row>
    <row r="58" ht="15.75" customHeight="1">
      <c r="A58" s="2"/>
      <c r="B58" s="2"/>
      <c r="C58" s="2"/>
      <c r="D58" s="2"/>
      <c r="E58" s="2"/>
      <c r="F58" s="2"/>
      <c r="G58" s="2"/>
      <c r="H58" s="2"/>
    </row>
    <row r="59" ht="15.75" customHeight="1">
      <c r="A59" s="2"/>
      <c r="B59" s="2"/>
      <c r="C59" s="2"/>
      <c r="D59" s="2"/>
      <c r="E59" s="2"/>
      <c r="F59" s="2"/>
      <c r="G59" s="2"/>
      <c r="H59" s="2"/>
    </row>
    <row r="60" ht="15.75" customHeight="1">
      <c r="A60" s="2"/>
      <c r="B60" s="2"/>
      <c r="C60" s="2"/>
      <c r="D60" s="2"/>
      <c r="E60" s="2"/>
      <c r="F60" s="2"/>
      <c r="G60" s="2"/>
      <c r="H60" s="2"/>
    </row>
    <row r="61" ht="15.75" customHeight="1">
      <c r="A61" s="2"/>
      <c r="B61" s="2"/>
      <c r="C61" s="2"/>
      <c r="D61" s="2"/>
      <c r="E61" s="2"/>
      <c r="F61" s="2"/>
      <c r="G61" s="2"/>
      <c r="H61" s="2"/>
    </row>
    <row r="62" ht="15.75" customHeight="1">
      <c r="A62" s="2"/>
      <c r="B62" s="2"/>
      <c r="C62" s="2"/>
      <c r="D62" s="2"/>
      <c r="E62" s="2"/>
      <c r="F62" s="2"/>
      <c r="G62" s="2"/>
      <c r="H62" s="2"/>
    </row>
    <row r="63" ht="15.75" customHeight="1">
      <c r="A63" s="2"/>
      <c r="B63" s="2"/>
      <c r="C63" s="2"/>
      <c r="D63" s="2"/>
      <c r="E63" s="2"/>
      <c r="F63" s="2"/>
      <c r="G63" s="2"/>
      <c r="H63" s="2"/>
    </row>
    <row r="64" ht="15.75" customHeight="1">
      <c r="A64" s="2"/>
      <c r="B64" s="2"/>
      <c r="C64" s="2"/>
      <c r="D64" s="2"/>
      <c r="E64" s="2"/>
      <c r="F64" s="2"/>
      <c r="G64" s="2"/>
      <c r="H64" s="2"/>
    </row>
    <row r="65" ht="15.75" customHeight="1">
      <c r="A65" s="2"/>
      <c r="B65" s="2"/>
      <c r="C65" s="2"/>
      <c r="D65" s="2"/>
      <c r="E65" s="2"/>
      <c r="F65" s="2"/>
      <c r="G65" s="2"/>
      <c r="H65" s="2"/>
    </row>
    <row r="66" ht="15.75" customHeight="1">
      <c r="A66" s="2"/>
      <c r="B66" s="2"/>
      <c r="C66" s="2"/>
      <c r="D66" s="2"/>
      <c r="E66" s="2"/>
      <c r="F66" s="2"/>
      <c r="G66" s="2"/>
      <c r="H66" s="2"/>
    </row>
    <row r="67" ht="15.75" customHeight="1">
      <c r="A67" s="2"/>
      <c r="B67" s="2"/>
      <c r="C67" s="2"/>
      <c r="D67" s="2"/>
      <c r="E67" s="2"/>
      <c r="F67" s="2"/>
      <c r="G67" s="2"/>
      <c r="H67" s="2"/>
    </row>
    <row r="68" ht="15.75" customHeight="1">
      <c r="A68" s="2"/>
      <c r="B68" s="2"/>
      <c r="C68" s="2"/>
      <c r="D68" s="2"/>
      <c r="E68" s="2"/>
      <c r="F68" s="2"/>
      <c r="G68" s="2"/>
      <c r="H68" s="2"/>
    </row>
    <row r="69" ht="15.75" customHeight="1">
      <c r="A69" s="2"/>
      <c r="B69" s="2"/>
      <c r="C69" s="2"/>
      <c r="D69" s="2"/>
      <c r="E69" s="2"/>
      <c r="F69" s="2"/>
      <c r="G69" s="2"/>
      <c r="H69" s="2"/>
    </row>
    <row r="70" ht="15.75" customHeight="1">
      <c r="A70" s="2"/>
      <c r="B70" s="2"/>
      <c r="C70" s="2"/>
      <c r="D70" s="2"/>
      <c r="E70" s="2"/>
      <c r="F70" s="2"/>
      <c r="G70" s="2"/>
      <c r="H70" s="2"/>
    </row>
    <row r="71" ht="15.75" customHeight="1">
      <c r="A71" s="2"/>
      <c r="B71" s="2"/>
      <c r="C71" s="2"/>
      <c r="D71" s="2"/>
      <c r="E71" s="2"/>
      <c r="F71" s="2"/>
      <c r="G71" s="2"/>
      <c r="H71" s="2"/>
    </row>
    <row r="72" ht="15.75" customHeight="1">
      <c r="A72" s="2"/>
      <c r="B72" s="2"/>
      <c r="C72" s="2"/>
      <c r="D72" s="2"/>
      <c r="E72" s="2"/>
      <c r="F72" s="2"/>
      <c r="G72" s="2"/>
      <c r="H72" s="2"/>
    </row>
    <row r="73" ht="15.75" customHeight="1">
      <c r="A73" s="2"/>
      <c r="B73" s="2"/>
      <c r="C73" s="2"/>
      <c r="D73" s="2"/>
      <c r="E73" s="2"/>
      <c r="F73" s="2"/>
      <c r="G73" s="2"/>
      <c r="H73" s="2"/>
    </row>
    <row r="74" ht="15.75" customHeight="1">
      <c r="A74" s="2"/>
      <c r="B74" s="2"/>
      <c r="C74" s="2"/>
      <c r="D74" s="2"/>
      <c r="E74" s="2"/>
      <c r="F74" s="2"/>
      <c r="G74" s="2"/>
      <c r="H74" s="2"/>
    </row>
    <row r="75" ht="15.75" customHeight="1">
      <c r="A75" s="2"/>
      <c r="B75" s="2"/>
      <c r="C75" s="2"/>
      <c r="D75" s="2"/>
      <c r="E75" s="2"/>
      <c r="F75" s="2"/>
      <c r="G75" s="2"/>
      <c r="H75" s="2"/>
    </row>
    <row r="76" ht="15.75" customHeight="1">
      <c r="A76" s="2"/>
      <c r="B76" s="2"/>
      <c r="C76" s="2"/>
      <c r="D76" s="2"/>
      <c r="E76" s="2"/>
      <c r="F76" s="2"/>
      <c r="G76" s="2"/>
      <c r="H76" s="2"/>
    </row>
    <row r="77" ht="15.75" customHeight="1">
      <c r="A77" s="2"/>
      <c r="B77" s="2"/>
      <c r="C77" s="2"/>
      <c r="D77" s="2"/>
      <c r="E77" s="2"/>
      <c r="F77" s="2"/>
      <c r="G77" s="2"/>
      <c r="H77" s="2"/>
    </row>
    <row r="78" ht="15.75" customHeight="1">
      <c r="A78" s="2"/>
      <c r="B78" s="2"/>
      <c r="C78" s="2"/>
      <c r="D78" s="2"/>
      <c r="E78" s="2"/>
      <c r="F78" s="2"/>
      <c r="G78" s="2"/>
      <c r="H78" s="2"/>
    </row>
    <row r="79" ht="15.75" customHeight="1">
      <c r="A79" s="2"/>
      <c r="B79" s="2"/>
      <c r="C79" s="2"/>
      <c r="D79" s="2"/>
      <c r="E79" s="2"/>
      <c r="F79" s="2"/>
      <c r="G79" s="2"/>
      <c r="H79" s="2"/>
    </row>
    <row r="80" ht="15.75" customHeight="1">
      <c r="A80" s="2"/>
      <c r="B80" s="2"/>
      <c r="C80" s="2"/>
      <c r="D80" s="2"/>
      <c r="E80" s="2"/>
      <c r="F80" s="2"/>
      <c r="G80" s="2"/>
      <c r="H80" s="2"/>
    </row>
    <row r="81" ht="15.75" customHeight="1">
      <c r="A81" s="2"/>
      <c r="B81" s="2"/>
      <c r="C81" s="2"/>
      <c r="D81" s="2"/>
      <c r="E81" s="2"/>
      <c r="F81" s="2"/>
      <c r="G81" s="2"/>
      <c r="H81" s="2"/>
    </row>
    <row r="82" ht="15.75" customHeight="1">
      <c r="A82" s="2"/>
      <c r="B82" s="2"/>
      <c r="C82" s="2"/>
      <c r="D82" s="2"/>
      <c r="E82" s="2"/>
      <c r="F82" s="2"/>
      <c r="G82" s="2"/>
      <c r="H82" s="2"/>
    </row>
    <row r="83" ht="15.75" customHeight="1">
      <c r="A83" s="2"/>
      <c r="B83" s="2"/>
      <c r="C83" s="2"/>
      <c r="D83" s="2"/>
      <c r="E83" s="2"/>
      <c r="F83" s="2"/>
      <c r="G83" s="2"/>
      <c r="H83" s="2"/>
    </row>
    <row r="84" ht="15.75" customHeight="1">
      <c r="A84" s="2"/>
      <c r="B84" s="2"/>
      <c r="C84" s="2"/>
      <c r="D84" s="2"/>
      <c r="E84" s="2"/>
      <c r="F84" s="2"/>
      <c r="G84" s="2"/>
      <c r="H84" s="2"/>
    </row>
    <row r="85" ht="15.75" customHeight="1">
      <c r="A85" s="2"/>
      <c r="B85" s="2"/>
      <c r="C85" s="2"/>
      <c r="D85" s="2"/>
      <c r="E85" s="2"/>
      <c r="F85" s="2"/>
      <c r="G85" s="2"/>
      <c r="H85" s="2"/>
    </row>
    <row r="86" ht="15.75" customHeight="1">
      <c r="A86" s="2"/>
      <c r="B86" s="2"/>
      <c r="C86" s="2"/>
      <c r="D86" s="2"/>
      <c r="E86" s="2"/>
      <c r="F86" s="2"/>
      <c r="G86" s="2"/>
      <c r="H86" s="2"/>
    </row>
    <row r="87" ht="15.75" customHeight="1">
      <c r="A87" s="2"/>
      <c r="B87" s="2"/>
      <c r="C87" s="2"/>
      <c r="D87" s="2"/>
      <c r="E87" s="2"/>
      <c r="F87" s="2"/>
      <c r="G87" s="2"/>
      <c r="H87" s="2"/>
    </row>
    <row r="88" ht="15.75" customHeight="1">
      <c r="A88" s="2"/>
      <c r="B88" s="2"/>
      <c r="C88" s="2"/>
      <c r="D88" s="2"/>
      <c r="E88" s="2"/>
      <c r="F88" s="2"/>
      <c r="G88" s="2"/>
      <c r="H88" s="2"/>
    </row>
    <row r="89" ht="15.75" customHeight="1">
      <c r="A89" s="2"/>
      <c r="B89" s="2"/>
      <c r="C89" s="2"/>
      <c r="D89" s="2"/>
      <c r="E89" s="2"/>
      <c r="F89" s="2"/>
      <c r="G89" s="2"/>
      <c r="H89" s="2"/>
    </row>
    <row r="90" ht="15.75" customHeight="1">
      <c r="A90" s="2"/>
      <c r="B90" s="2"/>
      <c r="C90" s="2"/>
      <c r="D90" s="2"/>
      <c r="E90" s="2"/>
      <c r="F90" s="2"/>
      <c r="G90" s="2"/>
      <c r="H90" s="2"/>
    </row>
    <row r="91" ht="15.75" customHeight="1">
      <c r="A91" s="2"/>
      <c r="B91" s="2"/>
      <c r="C91" s="2"/>
      <c r="D91" s="2"/>
      <c r="E91" s="2"/>
      <c r="F91" s="2"/>
      <c r="G91" s="2"/>
      <c r="H91" s="2"/>
    </row>
    <row r="92" ht="15.75" customHeight="1">
      <c r="A92" s="2"/>
      <c r="B92" s="2"/>
      <c r="C92" s="2"/>
      <c r="D92" s="2"/>
      <c r="E92" s="2"/>
      <c r="F92" s="2"/>
      <c r="G92" s="2"/>
      <c r="H92" s="2"/>
    </row>
    <row r="93" ht="15.75" customHeight="1">
      <c r="A93" s="2"/>
      <c r="B93" s="2"/>
      <c r="C93" s="2"/>
      <c r="D93" s="2"/>
      <c r="E93" s="2"/>
      <c r="F93" s="2"/>
      <c r="G93" s="2"/>
      <c r="H93" s="2"/>
    </row>
    <row r="94" ht="15.75" customHeight="1">
      <c r="A94" s="2"/>
      <c r="B94" s="2"/>
      <c r="C94" s="2"/>
      <c r="D94" s="2"/>
      <c r="E94" s="2"/>
      <c r="F94" s="2"/>
      <c r="G94" s="2"/>
      <c r="H94" s="2"/>
    </row>
    <row r="95" ht="15.75" customHeight="1">
      <c r="A95" s="2"/>
      <c r="B95" s="2"/>
      <c r="C95" s="2"/>
      <c r="D95" s="2"/>
      <c r="E95" s="2"/>
      <c r="F95" s="2"/>
      <c r="G95" s="2"/>
      <c r="H95" s="2"/>
    </row>
    <row r="96" ht="15.75" customHeight="1">
      <c r="A96" s="2"/>
      <c r="B96" s="2"/>
      <c r="C96" s="2"/>
      <c r="D96" s="2"/>
      <c r="E96" s="2"/>
      <c r="F96" s="2"/>
      <c r="G96" s="2"/>
      <c r="H96" s="2"/>
    </row>
    <row r="97" ht="15.75" customHeight="1">
      <c r="A97" s="2"/>
      <c r="B97" s="2"/>
      <c r="C97" s="2"/>
      <c r="D97" s="2"/>
      <c r="E97" s="2"/>
      <c r="F97" s="2"/>
      <c r="G97" s="2"/>
      <c r="H97" s="2"/>
    </row>
    <row r="98" ht="15.75" customHeight="1">
      <c r="A98" s="2"/>
      <c r="B98" s="2"/>
      <c r="C98" s="2"/>
      <c r="D98" s="2"/>
      <c r="E98" s="2"/>
      <c r="F98" s="2"/>
      <c r="G98" s="2"/>
      <c r="H98" s="2"/>
    </row>
    <row r="99" ht="15.75" customHeight="1">
      <c r="A99" s="2"/>
      <c r="B99" s="2"/>
      <c r="C99" s="2"/>
      <c r="D99" s="2"/>
      <c r="E99" s="2"/>
      <c r="F99" s="2"/>
      <c r="G99" s="2"/>
      <c r="H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</row>
  </sheetData>
  <printOptions/>
  <pageMargins bottom="1.0" footer="0.0" header="0.0" left="0.75" right="0.75" top="1.0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4.0"/>
    <col customWidth="1" min="3" max="3" width="22.0"/>
    <col customWidth="1" min="4" max="4" width="30.0"/>
    <col customWidth="1" min="5" max="5" width="18.0"/>
    <col customWidth="1" min="6" max="6" width="13.0"/>
    <col customWidth="1" min="7" max="7" width="20.0"/>
    <col customWidth="1" min="8" max="8" width="24.0"/>
  </cols>
  <sheetData>
    <row r="1">
      <c r="A1" s="18" t="s">
        <v>469</v>
      </c>
      <c r="B1" s="2"/>
      <c r="C1" s="2"/>
      <c r="D1" s="2"/>
      <c r="E1" s="2"/>
      <c r="F1" s="2"/>
      <c r="G1" s="2"/>
      <c r="H1" s="2"/>
    </row>
    <row r="2">
      <c r="A2" s="19" t="s">
        <v>470</v>
      </c>
      <c r="B2" s="2"/>
      <c r="C2" s="2"/>
      <c r="D2" s="2"/>
      <c r="E2" s="2"/>
      <c r="F2" s="2"/>
      <c r="G2" s="2"/>
      <c r="H2" s="2"/>
    </row>
    <row r="3">
      <c r="A3" s="2"/>
      <c r="B3" s="2"/>
      <c r="C3" s="2"/>
      <c r="D3" s="2"/>
      <c r="E3" s="2"/>
      <c r="F3" s="2"/>
      <c r="G3" s="2"/>
      <c r="H3" s="2"/>
    </row>
    <row r="4">
      <c r="A4" s="20" t="s">
        <v>81</v>
      </c>
      <c r="B4" s="20" t="s">
        <v>82</v>
      </c>
      <c r="C4" s="20" t="s">
        <v>83</v>
      </c>
      <c r="D4" s="20" t="s">
        <v>84</v>
      </c>
      <c r="E4" s="20" t="s">
        <v>85</v>
      </c>
      <c r="F4" s="20" t="s">
        <v>86</v>
      </c>
      <c r="G4" s="20" t="s">
        <v>87</v>
      </c>
      <c r="H4" s="20" t="s">
        <v>9</v>
      </c>
    </row>
    <row r="5">
      <c r="A5" s="5">
        <v>1.0</v>
      </c>
      <c r="B5" s="5" t="s">
        <v>64</v>
      </c>
      <c r="C5" s="5">
        <v>60.0</v>
      </c>
      <c r="D5" s="6" t="s">
        <v>471</v>
      </c>
      <c r="E5" s="5" t="str">
        <f>C5</f>
        <v>60</v>
      </c>
      <c r="F5" s="5" t="str">
        <f t="shared" ref="F5:F14" si="1">600-E5</f>
        <v>540</v>
      </c>
      <c r="G5" s="8" t="str">
        <f t="shared" ref="G5:G14" si="2">E5/600</f>
        <v>10.0%</v>
      </c>
      <c r="H5" s="5" t="str">
        <f t="shared" ref="H5:H14" si="3">IF(G5&gt;=1, "100.0% (Package Over)", TEXT(MIN(G5*100, 99.9), "0.0") &amp; "%")</f>
        <v>10.0%</v>
      </c>
    </row>
    <row r="6">
      <c r="A6" s="5">
        <v>2.0</v>
      </c>
      <c r="B6" s="5" t="s">
        <v>64</v>
      </c>
      <c r="C6" s="5">
        <v>60.0</v>
      </c>
      <c r="D6" s="6" t="s">
        <v>472</v>
      </c>
      <c r="E6" s="5" t="str">
        <f t="shared" ref="E6:E14" si="4">E5+C6</f>
        <v>120</v>
      </c>
      <c r="F6" s="5" t="str">
        <f t="shared" si="1"/>
        <v>480</v>
      </c>
      <c r="G6" s="8" t="str">
        <f t="shared" si="2"/>
        <v>20.0%</v>
      </c>
      <c r="H6" s="5" t="str">
        <f t="shared" si="3"/>
        <v>20.0%</v>
      </c>
    </row>
    <row r="7">
      <c r="A7" s="5">
        <v>3.0</v>
      </c>
      <c r="B7" s="5" t="s">
        <v>223</v>
      </c>
      <c r="C7" s="5">
        <v>60.0</v>
      </c>
      <c r="D7" s="6" t="s">
        <v>473</v>
      </c>
      <c r="E7" s="5" t="str">
        <f t="shared" si="4"/>
        <v>180</v>
      </c>
      <c r="F7" s="5" t="str">
        <f t="shared" si="1"/>
        <v>420</v>
      </c>
      <c r="G7" s="8" t="str">
        <f t="shared" si="2"/>
        <v>30.0%</v>
      </c>
      <c r="H7" s="5" t="str">
        <f t="shared" si="3"/>
        <v>30.0%</v>
      </c>
    </row>
    <row r="8">
      <c r="A8" s="5">
        <v>4.0</v>
      </c>
      <c r="B8" s="5" t="s">
        <v>223</v>
      </c>
      <c r="C8" s="5">
        <v>60.0</v>
      </c>
      <c r="D8" s="6" t="s">
        <v>474</v>
      </c>
      <c r="E8" s="5" t="str">
        <f t="shared" si="4"/>
        <v>240</v>
      </c>
      <c r="F8" s="5" t="str">
        <f t="shared" si="1"/>
        <v>360</v>
      </c>
      <c r="G8" s="8" t="str">
        <f t="shared" si="2"/>
        <v>40.0%</v>
      </c>
      <c r="H8" s="5" t="str">
        <f t="shared" si="3"/>
        <v>40.0%</v>
      </c>
    </row>
    <row r="9">
      <c r="A9" s="5">
        <v>5.0</v>
      </c>
      <c r="B9" s="5" t="s">
        <v>475</v>
      </c>
      <c r="C9" s="5">
        <v>60.0</v>
      </c>
      <c r="D9" s="6" t="s">
        <v>476</v>
      </c>
      <c r="E9" s="5" t="str">
        <f t="shared" si="4"/>
        <v>300</v>
      </c>
      <c r="F9" s="5" t="str">
        <f t="shared" si="1"/>
        <v>300</v>
      </c>
      <c r="G9" s="8" t="str">
        <f t="shared" si="2"/>
        <v>50.0%</v>
      </c>
      <c r="H9" s="5" t="str">
        <f t="shared" si="3"/>
        <v>50.0%</v>
      </c>
    </row>
    <row r="10">
      <c r="A10" s="5">
        <v>6.0</v>
      </c>
      <c r="B10" s="5" t="s">
        <v>475</v>
      </c>
      <c r="C10" s="5">
        <v>60.0</v>
      </c>
      <c r="D10" s="6" t="s">
        <v>477</v>
      </c>
      <c r="E10" s="5" t="str">
        <f t="shared" si="4"/>
        <v>360</v>
      </c>
      <c r="F10" s="5" t="str">
        <f t="shared" si="1"/>
        <v>240</v>
      </c>
      <c r="G10" s="8" t="str">
        <f t="shared" si="2"/>
        <v>60.0%</v>
      </c>
      <c r="H10" s="5" t="str">
        <f t="shared" si="3"/>
        <v>60.0%</v>
      </c>
    </row>
    <row r="11">
      <c r="A11" s="5">
        <v>7.0</v>
      </c>
      <c r="B11" s="5" t="s">
        <v>310</v>
      </c>
      <c r="C11" s="5">
        <v>60.0</v>
      </c>
      <c r="D11" s="6" t="s">
        <v>478</v>
      </c>
      <c r="E11" s="5" t="str">
        <f t="shared" si="4"/>
        <v>420</v>
      </c>
      <c r="F11" s="5" t="str">
        <f t="shared" si="1"/>
        <v>180</v>
      </c>
      <c r="G11" s="8" t="str">
        <f t="shared" si="2"/>
        <v>70.0%</v>
      </c>
      <c r="H11" s="5" t="str">
        <f t="shared" si="3"/>
        <v>70.0%</v>
      </c>
    </row>
    <row r="12">
      <c r="A12" s="5">
        <v>8.0</v>
      </c>
      <c r="B12" s="5" t="s">
        <v>310</v>
      </c>
      <c r="C12" s="5">
        <v>60.0</v>
      </c>
      <c r="D12" s="6" t="s">
        <v>479</v>
      </c>
      <c r="E12" s="5" t="str">
        <f t="shared" si="4"/>
        <v>480</v>
      </c>
      <c r="F12" s="5" t="str">
        <f t="shared" si="1"/>
        <v>120</v>
      </c>
      <c r="G12" s="8" t="str">
        <f t="shared" si="2"/>
        <v>80.0%</v>
      </c>
      <c r="H12" s="5" t="str">
        <f t="shared" si="3"/>
        <v>80.0%</v>
      </c>
    </row>
    <row r="13">
      <c r="A13" s="5">
        <v>9.0</v>
      </c>
      <c r="B13" s="5" t="s">
        <v>310</v>
      </c>
      <c r="C13" s="5">
        <v>60.0</v>
      </c>
      <c r="D13" s="6" t="s">
        <v>480</v>
      </c>
      <c r="E13" s="5" t="str">
        <f t="shared" si="4"/>
        <v>540</v>
      </c>
      <c r="F13" s="5" t="str">
        <f t="shared" si="1"/>
        <v>60</v>
      </c>
      <c r="G13" s="8" t="str">
        <f t="shared" si="2"/>
        <v>90.0%</v>
      </c>
      <c r="H13" s="5" t="str">
        <f t="shared" si="3"/>
        <v>90.0%</v>
      </c>
    </row>
    <row r="14">
      <c r="A14" s="5">
        <v>10.0</v>
      </c>
      <c r="B14" s="5" t="s">
        <v>481</v>
      </c>
      <c r="C14" s="5">
        <v>60.0</v>
      </c>
      <c r="D14" s="6" t="s">
        <v>482</v>
      </c>
      <c r="E14" s="5" t="str">
        <f t="shared" si="4"/>
        <v>600</v>
      </c>
      <c r="F14" s="5" t="str">
        <f t="shared" si="1"/>
        <v>0</v>
      </c>
      <c r="G14" s="8" t="str">
        <f t="shared" si="2"/>
        <v>100.0%</v>
      </c>
      <c r="H14" s="5" t="str">
        <f t="shared" si="3"/>
        <v>100.0% (Package Over)</v>
      </c>
    </row>
    <row r="15">
      <c r="A15" s="2"/>
      <c r="B15" s="2"/>
      <c r="C15" s="2"/>
      <c r="D15" s="2"/>
      <c r="E15" s="2"/>
      <c r="F15" s="2"/>
      <c r="G15" s="2"/>
      <c r="H15" s="2"/>
    </row>
    <row r="16">
      <c r="A16" s="2"/>
      <c r="B16" s="2"/>
      <c r="C16" s="2"/>
      <c r="D16" s="2"/>
      <c r="E16" s="2"/>
      <c r="F16" s="2"/>
      <c r="G16" s="2"/>
      <c r="H16" s="2"/>
    </row>
    <row r="17">
      <c r="A17" s="2"/>
      <c r="B17" s="2"/>
      <c r="C17" s="2"/>
      <c r="D17" s="2"/>
      <c r="E17" s="2"/>
      <c r="F17" s="2"/>
      <c r="G17" s="2"/>
      <c r="H17" s="2"/>
    </row>
    <row r="18">
      <c r="A18" s="2"/>
      <c r="B18" s="2"/>
      <c r="C18" s="2"/>
      <c r="D18" s="2"/>
      <c r="E18" s="2"/>
      <c r="F18" s="2"/>
      <c r="G18" s="2"/>
      <c r="H18" s="2"/>
    </row>
    <row r="19">
      <c r="A19" s="2"/>
      <c r="B19" s="2"/>
      <c r="C19" s="2"/>
      <c r="D19" s="2"/>
      <c r="E19" s="2"/>
      <c r="F19" s="2"/>
      <c r="G19" s="2"/>
      <c r="H19" s="2"/>
    </row>
    <row r="20">
      <c r="A20" s="2"/>
      <c r="B20" s="2"/>
      <c r="C20" s="2"/>
      <c r="D20" s="2"/>
      <c r="E20" s="2"/>
      <c r="F20" s="2"/>
      <c r="G20" s="2"/>
      <c r="H20" s="2"/>
    </row>
    <row r="21" ht="15.75" customHeight="1">
      <c r="A21" s="2"/>
      <c r="B21" s="2"/>
      <c r="C21" s="2"/>
      <c r="D21" s="2"/>
      <c r="E21" s="2"/>
      <c r="F21" s="2"/>
      <c r="G21" s="2"/>
      <c r="H21" s="2"/>
    </row>
    <row r="22" ht="15.75" customHeight="1">
      <c r="A22" s="2"/>
      <c r="B22" s="2"/>
      <c r="C22" s="2"/>
      <c r="D22" s="2"/>
      <c r="E22" s="2"/>
      <c r="F22" s="2"/>
      <c r="G22" s="2"/>
      <c r="H22" s="2"/>
    </row>
    <row r="23" ht="15.75" customHeight="1">
      <c r="A23" s="2"/>
      <c r="B23" s="2"/>
      <c r="C23" s="2"/>
      <c r="D23" s="2"/>
      <c r="E23" s="2"/>
      <c r="F23" s="2"/>
      <c r="G23" s="2"/>
      <c r="H23" s="2"/>
    </row>
    <row r="24" ht="15.75" customHeight="1">
      <c r="A24" s="2"/>
      <c r="B24" s="2"/>
      <c r="C24" s="2"/>
      <c r="D24" s="2"/>
      <c r="E24" s="2"/>
      <c r="F24" s="2"/>
      <c r="G24" s="2"/>
      <c r="H24" s="2"/>
    </row>
    <row r="25" ht="15.75" customHeight="1">
      <c r="A25" s="2"/>
      <c r="B25" s="2"/>
      <c r="C25" s="2"/>
      <c r="D25" s="2"/>
      <c r="E25" s="2"/>
      <c r="F25" s="2"/>
      <c r="G25" s="2"/>
      <c r="H25" s="2"/>
    </row>
    <row r="26" ht="15.75" customHeight="1">
      <c r="A26" s="2"/>
      <c r="B26" s="2"/>
      <c r="C26" s="2"/>
      <c r="D26" s="2"/>
      <c r="E26" s="2"/>
      <c r="F26" s="2"/>
      <c r="G26" s="2"/>
      <c r="H26" s="2"/>
    </row>
    <row r="27" ht="15.75" customHeight="1">
      <c r="A27" s="2"/>
      <c r="B27" s="2"/>
      <c r="C27" s="2"/>
      <c r="D27" s="2"/>
      <c r="E27" s="2"/>
      <c r="F27" s="2"/>
      <c r="G27" s="2"/>
      <c r="H27" s="2"/>
    </row>
    <row r="28" ht="15.75" customHeight="1">
      <c r="A28" s="2"/>
      <c r="B28" s="2"/>
      <c r="C28" s="2"/>
      <c r="D28" s="2"/>
      <c r="E28" s="2"/>
      <c r="F28" s="2"/>
      <c r="G28" s="2"/>
      <c r="H28" s="2"/>
    </row>
    <row r="29" ht="15.75" customHeight="1">
      <c r="A29" s="2"/>
      <c r="B29" s="2"/>
      <c r="C29" s="2"/>
      <c r="D29" s="2"/>
      <c r="E29" s="2"/>
      <c r="F29" s="2"/>
      <c r="G29" s="2"/>
      <c r="H29" s="2"/>
    </row>
    <row r="30" ht="15.75" customHeight="1">
      <c r="A30" s="2"/>
      <c r="B30" s="2"/>
      <c r="C30" s="2"/>
      <c r="D30" s="2"/>
      <c r="E30" s="2"/>
      <c r="F30" s="2"/>
      <c r="G30" s="2"/>
      <c r="H30" s="2"/>
    </row>
    <row r="31" ht="15.75" customHeight="1">
      <c r="A31" s="2"/>
      <c r="B31" s="2"/>
      <c r="C31" s="2"/>
      <c r="D31" s="2"/>
      <c r="E31" s="2"/>
      <c r="F31" s="2"/>
      <c r="G31" s="2"/>
      <c r="H31" s="2"/>
    </row>
    <row r="32" ht="15.75" customHeight="1">
      <c r="A32" s="2"/>
      <c r="B32" s="2"/>
      <c r="C32" s="2"/>
      <c r="D32" s="2"/>
      <c r="E32" s="2"/>
      <c r="F32" s="2"/>
      <c r="G32" s="2"/>
      <c r="H32" s="2"/>
    </row>
    <row r="33" ht="15.75" customHeight="1">
      <c r="A33" s="2"/>
      <c r="B33" s="2"/>
      <c r="C33" s="2"/>
      <c r="D33" s="2"/>
      <c r="E33" s="2"/>
      <c r="F33" s="2"/>
      <c r="G33" s="2"/>
      <c r="H33" s="2"/>
    </row>
    <row r="34" ht="15.75" customHeight="1">
      <c r="A34" s="2"/>
      <c r="B34" s="2"/>
      <c r="C34" s="2"/>
      <c r="D34" s="2"/>
      <c r="E34" s="2"/>
      <c r="F34" s="2"/>
      <c r="G34" s="2"/>
      <c r="H34" s="2"/>
    </row>
    <row r="35" ht="15.75" customHeight="1">
      <c r="A35" s="2"/>
      <c r="B35" s="2"/>
      <c r="C35" s="2"/>
      <c r="D35" s="2"/>
      <c r="E35" s="2"/>
      <c r="F35" s="2"/>
      <c r="G35" s="2"/>
      <c r="H35" s="2"/>
    </row>
    <row r="36" ht="15.75" customHeight="1">
      <c r="A36" s="2"/>
      <c r="B36" s="2"/>
      <c r="C36" s="2"/>
      <c r="D36" s="2"/>
      <c r="E36" s="2"/>
      <c r="F36" s="2"/>
      <c r="G36" s="2"/>
      <c r="H36" s="2"/>
    </row>
    <row r="37" ht="15.75" customHeight="1">
      <c r="A37" s="2"/>
      <c r="B37" s="2"/>
      <c r="C37" s="2"/>
      <c r="D37" s="2"/>
      <c r="E37" s="2"/>
      <c r="F37" s="2"/>
      <c r="G37" s="2"/>
      <c r="H37" s="2"/>
    </row>
    <row r="38" ht="15.75" customHeight="1">
      <c r="A38" s="2"/>
      <c r="B38" s="2"/>
      <c r="C38" s="2"/>
      <c r="D38" s="2"/>
      <c r="E38" s="2"/>
      <c r="F38" s="2"/>
      <c r="G38" s="2"/>
      <c r="H38" s="2"/>
    </row>
    <row r="39" ht="15.75" customHeight="1">
      <c r="A39" s="2"/>
      <c r="B39" s="2"/>
      <c r="C39" s="2"/>
      <c r="D39" s="2"/>
      <c r="E39" s="2"/>
      <c r="F39" s="2"/>
      <c r="G39" s="2"/>
      <c r="H39" s="2"/>
    </row>
    <row r="40" ht="15.75" customHeight="1">
      <c r="A40" s="2"/>
      <c r="B40" s="2"/>
      <c r="C40" s="2"/>
      <c r="D40" s="2"/>
      <c r="E40" s="2"/>
      <c r="F40" s="2"/>
      <c r="G40" s="2"/>
      <c r="H40" s="2"/>
    </row>
    <row r="41" ht="15.75" customHeight="1">
      <c r="A41" s="2"/>
      <c r="B41" s="2"/>
      <c r="C41" s="2"/>
      <c r="D41" s="2"/>
      <c r="E41" s="2"/>
      <c r="F41" s="2"/>
      <c r="G41" s="2"/>
      <c r="H41" s="2"/>
    </row>
    <row r="42" ht="15.75" customHeight="1">
      <c r="A42" s="2"/>
      <c r="B42" s="2"/>
      <c r="C42" s="2"/>
      <c r="D42" s="2"/>
      <c r="E42" s="2"/>
      <c r="F42" s="2"/>
      <c r="G42" s="2"/>
      <c r="H42" s="2"/>
    </row>
    <row r="43" ht="15.75" customHeight="1">
      <c r="A43" s="2"/>
      <c r="B43" s="2"/>
      <c r="C43" s="2"/>
      <c r="D43" s="2"/>
      <c r="E43" s="2"/>
      <c r="F43" s="2"/>
      <c r="G43" s="2"/>
      <c r="H43" s="2"/>
    </row>
    <row r="44" ht="15.75" customHeight="1">
      <c r="A44" s="2"/>
      <c r="B44" s="2"/>
      <c r="C44" s="2"/>
      <c r="D44" s="2"/>
      <c r="E44" s="2"/>
      <c r="F44" s="2"/>
      <c r="G44" s="2"/>
      <c r="H44" s="2"/>
    </row>
    <row r="45" ht="15.75" customHeight="1">
      <c r="A45" s="2"/>
      <c r="B45" s="2"/>
      <c r="C45" s="2"/>
      <c r="D45" s="2"/>
      <c r="E45" s="2"/>
      <c r="F45" s="2"/>
      <c r="G45" s="2"/>
      <c r="H45" s="2"/>
    </row>
    <row r="46" ht="15.75" customHeight="1">
      <c r="A46" s="2"/>
      <c r="B46" s="2"/>
      <c r="C46" s="2"/>
      <c r="D46" s="2"/>
      <c r="E46" s="2"/>
      <c r="F46" s="2"/>
      <c r="G46" s="2"/>
      <c r="H46" s="2"/>
    </row>
    <row r="47" ht="15.75" customHeight="1">
      <c r="A47" s="2"/>
      <c r="B47" s="2"/>
      <c r="C47" s="2"/>
      <c r="D47" s="2"/>
      <c r="E47" s="2"/>
      <c r="F47" s="2"/>
      <c r="G47" s="2"/>
      <c r="H47" s="2"/>
    </row>
    <row r="48" ht="15.75" customHeight="1">
      <c r="A48" s="2"/>
      <c r="B48" s="2"/>
      <c r="C48" s="2"/>
      <c r="D48" s="2"/>
      <c r="E48" s="2"/>
      <c r="F48" s="2"/>
      <c r="G48" s="2"/>
      <c r="H48" s="2"/>
    </row>
    <row r="49" ht="15.75" customHeight="1">
      <c r="A49" s="2"/>
      <c r="B49" s="2"/>
      <c r="C49" s="2"/>
      <c r="D49" s="2"/>
      <c r="E49" s="2"/>
      <c r="F49" s="2"/>
      <c r="G49" s="2"/>
      <c r="H49" s="2"/>
    </row>
    <row r="50" ht="15.75" customHeight="1">
      <c r="A50" s="2"/>
      <c r="B50" s="2"/>
      <c r="C50" s="2"/>
      <c r="D50" s="2"/>
      <c r="E50" s="2"/>
      <c r="F50" s="2"/>
      <c r="G50" s="2"/>
      <c r="H50" s="2"/>
    </row>
    <row r="51" ht="15.75" customHeight="1">
      <c r="A51" s="2"/>
      <c r="B51" s="2"/>
      <c r="C51" s="2"/>
      <c r="D51" s="2"/>
      <c r="E51" s="2"/>
      <c r="F51" s="2"/>
      <c r="G51" s="2"/>
      <c r="H51" s="2"/>
    </row>
    <row r="52" ht="15.75" customHeight="1">
      <c r="A52" s="2"/>
      <c r="B52" s="2"/>
      <c r="C52" s="2"/>
      <c r="D52" s="2"/>
      <c r="E52" s="2"/>
      <c r="F52" s="2"/>
      <c r="G52" s="2"/>
      <c r="H52" s="2"/>
    </row>
    <row r="53" ht="15.75" customHeight="1">
      <c r="A53" s="2"/>
      <c r="B53" s="2"/>
      <c r="C53" s="2"/>
      <c r="D53" s="2"/>
      <c r="E53" s="2"/>
      <c r="F53" s="2"/>
      <c r="G53" s="2"/>
      <c r="H53" s="2"/>
    </row>
    <row r="54" ht="15.75" customHeight="1">
      <c r="A54" s="2"/>
      <c r="B54" s="2"/>
      <c r="C54" s="2"/>
      <c r="D54" s="2"/>
      <c r="E54" s="2"/>
      <c r="F54" s="2"/>
      <c r="G54" s="2"/>
      <c r="H54" s="2"/>
    </row>
    <row r="55" ht="15.75" customHeight="1">
      <c r="A55" s="2"/>
      <c r="B55" s="2"/>
      <c r="C55" s="2"/>
      <c r="D55" s="2"/>
      <c r="E55" s="2"/>
      <c r="F55" s="2"/>
      <c r="G55" s="2"/>
      <c r="H55" s="2"/>
    </row>
    <row r="56" ht="15.75" customHeight="1">
      <c r="A56" s="2"/>
      <c r="B56" s="2"/>
      <c r="C56" s="2"/>
      <c r="D56" s="2"/>
      <c r="E56" s="2"/>
      <c r="F56" s="2"/>
      <c r="G56" s="2"/>
      <c r="H56" s="2"/>
    </row>
    <row r="57" ht="15.75" customHeight="1">
      <c r="A57" s="2"/>
      <c r="B57" s="2"/>
      <c r="C57" s="2"/>
      <c r="D57" s="2"/>
      <c r="E57" s="2"/>
      <c r="F57" s="2"/>
      <c r="G57" s="2"/>
      <c r="H57" s="2"/>
    </row>
    <row r="58" ht="15.75" customHeight="1">
      <c r="A58" s="2"/>
      <c r="B58" s="2"/>
      <c r="C58" s="2"/>
      <c r="D58" s="2"/>
      <c r="E58" s="2"/>
      <c r="F58" s="2"/>
      <c r="G58" s="2"/>
      <c r="H58" s="2"/>
    </row>
    <row r="59" ht="15.75" customHeight="1">
      <c r="A59" s="2"/>
      <c r="B59" s="2"/>
      <c r="C59" s="2"/>
      <c r="D59" s="2"/>
      <c r="E59" s="2"/>
      <c r="F59" s="2"/>
      <c r="G59" s="2"/>
      <c r="H59" s="2"/>
    </row>
    <row r="60" ht="15.75" customHeight="1">
      <c r="A60" s="2"/>
      <c r="B60" s="2"/>
      <c r="C60" s="2"/>
      <c r="D60" s="2"/>
      <c r="E60" s="2"/>
      <c r="F60" s="2"/>
      <c r="G60" s="2"/>
      <c r="H60" s="2"/>
    </row>
    <row r="61" ht="15.75" customHeight="1">
      <c r="A61" s="2"/>
      <c r="B61" s="2"/>
      <c r="C61" s="2"/>
      <c r="D61" s="2"/>
      <c r="E61" s="2"/>
      <c r="F61" s="2"/>
      <c r="G61" s="2"/>
      <c r="H61" s="2"/>
    </row>
    <row r="62" ht="15.75" customHeight="1">
      <c r="A62" s="2"/>
      <c r="B62" s="2"/>
      <c r="C62" s="2"/>
      <c r="D62" s="2"/>
      <c r="E62" s="2"/>
      <c r="F62" s="2"/>
      <c r="G62" s="2"/>
      <c r="H62" s="2"/>
    </row>
    <row r="63" ht="15.75" customHeight="1">
      <c r="A63" s="2"/>
      <c r="B63" s="2"/>
      <c r="C63" s="2"/>
      <c r="D63" s="2"/>
      <c r="E63" s="2"/>
      <c r="F63" s="2"/>
      <c r="G63" s="2"/>
      <c r="H63" s="2"/>
    </row>
    <row r="64" ht="15.75" customHeight="1">
      <c r="A64" s="2"/>
      <c r="B64" s="2"/>
      <c r="C64" s="2"/>
      <c r="D64" s="2"/>
      <c r="E64" s="2"/>
      <c r="F64" s="2"/>
      <c r="G64" s="2"/>
      <c r="H64" s="2"/>
    </row>
    <row r="65" ht="15.75" customHeight="1">
      <c r="A65" s="2"/>
      <c r="B65" s="2"/>
      <c r="C65" s="2"/>
      <c r="D65" s="2"/>
      <c r="E65" s="2"/>
      <c r="F65" s="2"/>
      <c r="G65" s="2"/>
      <c r="H65" s="2"/>
    </row>
    <row r="66" ht="15.75" customHeight="1">
      <c r="A66" s="2"/>
      <c r="B66" s="2"/>
      <c r="C66" s="2"/>
      <c r="D66" s="2"/>
      <c r="E66" s="2"/>
      <c r="F66" s="2"/>
      <c r="G66" s="2"/>
      <c r="H66" s="2"/>
    </row>
    <row r="67" ht="15.75" customHeight="1">
      <c r="A67" s="2"/>
      <c r="B67" s="2"/>
      <c r="C67" s="2"/>
      <c r="D67" s="2"/>
      <c r="E67" s="2"/>
      <c r="F67" s="2"/>
      <c r="G67" s="2"/>
      <c r="H67" s="2"/>
    </row>
    <row r="68" ht="15.75" customHeight="1">
      <c r="A68" s="2"/>
      <c r="B68" s="2"/>
      <c r="C68" s="2"/>
      <c r="D68" s="2"/>
      <c r="E68" s="2"/>
      <c r="F68" s="2"/>
      <c r="G68" s="2"/>
      <c r="H68" s="2"/>
    </row>
    <row r="69" ht="15.75" customHeight="1">
      <c r="A69" s="2"/>
      <c r="B69" s="2"/>
      <c r="C69" s="2"/>
      <c r="D69" s="2"/>
      <c r="E69" s="2"/>
      <c r="F69" s="2"/>
      <c r="G69" s="2"/>
      <c r="H69" s="2"/>
    </row>
    <row r="70" ht="15.75" customHeight="1">
      <c r="A70" s="2"/>
      <c r="B70" s="2"/>
      <c r="C70" s="2"/>
      <c r="D70" s="2"/>
      <c r="E70" s="2"/>
      <c r="F70" s="2"/>
      <c r="G70" s="2"/>
      <c r="H70" s="2"/>
    </row>
    <row r="71" ht="15.75" customHeight="1">
      <c r="A71" s="2"/>
      <c r="B71" s="2"/>
      <c r="C71" s="2"/>
      <c r="D71" s="2"/>
      <c r="E71" s="2"/>
      <c r="F71" s="2"/>
      <c r="G71" s="2"/>
      <c r="H71" s="2"/>
    </row>
    <row r="72" ht="15.75" customHeight="1">
      <c r="A72" s="2"/>
      <c r="B72" s="2"/>
      <c r="C72" s="2"/>
      <c r="D72" s="2"/>
      <c r="E72" s="2"/>
      <c r="F72" s="2"/>
      <c r="G72" s="2"/>
      <c r="H72" s="2"/>
    </row>
    <row r="73" ht="15.75" customHeight="1">
      <c r="A73" s="2"/>
      <c r="B73" s="2"/>
      <c r="C73" s="2"/>
      <c r="D73" s="2"/>
      <c r="E73" s="2"/>
      <c r="F73" s="2"/>
      <c r="G73" s="2"/>
      <c r="H73" s="2"/>
    </row>
    <row r="74" ht="15.75" customHeight="1">
      <c r="A74" s="2"/>
      <c r="B74" s="2"/>
      <c r="C74" s="2"/>
      <c r="D74" s="2"/>
      <c r="E74" s="2"/>
      <c r="F74" s="2"/>
      <c r="G74" s="2"/>
      <c r="H74" s="2"/>
    </row>
    <row r="75" ht="15.75" customHeight="1">
      <c r="A75" s="2"/>
      <c r="B75" s="2"/>
      <c r="C75" s="2"/>
      <c r="D75" s="2"/>
      <c r="E75" s="2"/>
      <c r="F75" s="2"/>
      <c r="G75" s="2"/>
      <c r="H75" s="2"/>
    </row>
    <row r="76" ht="15.75" customHeight="1">
      <c r="A76" s="2"/>
      <c r="B76" s="2"/>
      <c r="C76" s="2"/>
      <c r="D76" s="2"/>
      <c r="E76" s="2"/>
      <c r="F76" s="2"/>
      <c r="G76" s="2"/>
      <c r="H76" s="2"/>
    </row>
    <row r="77" ht="15.75" customHeight="1">
      <c r="A77" s="2"/>
      <c r="B77" s="2"/>
      <c r="C77" s="2"/>
      <c r="D77" s="2"/>
      <c r="E77" s="2"/>
      <c r="F77" s="2"/>
      <c r="G77" s="2"/>
      <c r="H77" s="2"/>
    </row>
    <row r="78" ht="15.75" customHeight="1">
      <c r="A78" s="2"/>
      <c r="B78" s="2"/>
      <c r="C78" s="2"/>
      <c r="D78" s="2"/>
      <c r="E78" s="2"/>
      <c r="F78" s="2"/>
      <c r="G78" s="2"/>
      <c r="H78" s="2"/>
    </row>
    <row r="79" ht="15.75" customHeight="1">
      <c r="A79" s="2"/>
      <c r="B79" s="2"/>
      <c r="C79" s="2"/>
      <c r="D79" s="2"/>
      <c r="E79" s="2"/>
      <c r="F79" s="2"/>
      <c r="G79" s="2"/>
      <c r="H79" s="2"/>
    </row>
    <row r="80" ht="15.75" customHeight="1">
      <c r="A80" s="2"/>
      <c r="B80" s="2"/>
      <c r="C80" s="2"/>
      <c r="D80" s="2"/>
      <c r="E80" s="2"/>
      <c r="F80" s="2"/>
      <c r="G80" s="2"/>
      <c r="H80" s="2"/>
    </row>
    <row r="81" ht="15.75" customHeight="1">
      <c r="A81" s="2"/>
      <c r="B81" s="2"/>
      <c r="C81" s="2"/>
      <c r="D81" s="2"/>
      <c r="E81" s="2"/>
      <c r="F81" s="2"/>
      <c r="G81" s="2"/>
      <c r="H81" s="2"/>
    </row>
    <row r="82" ht="15.75" customHeight="1">
      <c r="A82" s="2"/>
      <c r="B82" s="2"/>
      <c r="C82" s="2"/>
      <c r="D82" s="2"/>
      <c r="E82" s="2"/>
      <c r="F82" s="2"/>
      <c r="G82" s="2"/>
      <c r="H82" s="2"/>
    </row>
    <row r="83" ht="15.75" customHeight="1">
      <c r="A83" s="2"/>
      <c r="B83" s="2"/>
      <c r="C83" s="2"/>
      <c r="D83" s="2"/>
      <c r="E83" s="2"/>
      <c r="F83" s="2"/>
      <c r="G83" s="2"/>
      <c r="H83" s="2"/>
    </row>
    <row r="84" ht="15.75" customHeight="1">
      <c r="A84" s="2"/>
      <c r="B84" s="2"/>
      <c r="C84" s="2"/>
      <c r="D84" s="2"/>
      <c r="E84" s="2"/>
      <c r="F84" s="2"/>
      <c r="G84" s="2"/>
      <c r="H84" s="2"/>
    </row>
    <row r="85" ht="15.75" customHeight="1">
      <c r="A85" s="2"/>
      <c r="B85" s="2"/>
      <c r="C85" s="2"/>
      <c r="D85" s="2"/>
      <c r="E85" s="2"/>
      <c r="F85" s="2"/>
      <c r="G85" s="2"/>
      <c r="H85" s="2"/>
    </row>
    <row r="86" ht="15.75" customHeight="1">
      <c r="A86" s="2"/>
      <c r="B86" s="2"/>
      <c r="C86" s="2"/>
      <c r="D86" s="2"/>
      <c r="E86" s="2"/>
      <c r="F86" s="2"/>
      <c r="G86" s="2"/>
      <c r="H86" s="2"/>
    </row>
    <row r="87" ht="15.75" customHeight="1">
      <c r="A87" s="2"/>
      <c r="B87" s="2"/>
      <c r="C87" s="2"/>
      <c r="D87" s="2"/>
      <c r="E87" s="2"/>
      <c r="F87" s="2"/>
      <c r="G87" s="2"/>
      <c r="H87" s="2"/>
    </row>
    <row r="88" ht="15.75" customHeight="1">
      <c r="A88" s="2"/>
      <c r="B88" s="2"/>
      <c r="C88" s="2"/>
      <c r="D88" s="2"/>
      <c r="E88" s="2"/>
      <c r="F88" s="2"/>
      <c r="G88" s="2"/>
      <c r="H88" s="2"/>
    </row>
    <row r="89" ht="15.75" customHeight="1">
      <c r="A89" s="2"/>
      <c r="B89" s="2"/>
      <c r="C89" s="2"/>
      <c r="D89" s="2"/>
      <c r="E89" s="2"/>
      <c r="F89" s="2"/>
      <c r="G89" s="2"/>
      <c r="H89" s="2"/>
    </row>
    <row r="90" ht="15.75" customHeight="1">
      <c r="A90" s="2"/>
      <c r="B90" s="2"/>
      <c r="C90" s="2"/>
      <c r="D90" s="2"/>
      <c r="E90" s="2"/>
      <c r="F90" s="2"/>
      <c r="G90" s="2"/>
      <c r="H90" s="2"/>
    </row>
    <row r="91" ht="15.75" customHeight="1">
      <c r="A91" s="2"/>
      <c r="B91" s="2"/>
      <c r="C91" s="2"/>
      <c r="D91" s="2"/>
      <c r="E91" s="2"/>
      <c r="F91" s="2"/>
      <c r="G91" s="2"/>
      <c r="H91" s="2"/>
    </row>
    <row r="92" ht="15.75" customHeight="1">
      <c r="A92" s="2"/>
      <c r="B92" s="2"/>
      <c r="C92" s="2"/>
      <c r="D92" s="2"/>
      <c r="E92" s="2"/>
      <c r="F92" s="2"/>
      <c r="G92" s="2"/>
      <c r="H92" s="2"/>
    </row>
    <row r="93" ht="15.75" customHeight="1">
      <c r="A93" s="2"/>
      <c r="B93" s="2"/>
      <c r="C93" s="2"/>
      <c r="D93" s="2"/>
      <c r="E93" s="2"/>
      <c r="F93" s="2"/>
      <c r="G93" s="2"/>
      <c r="H93" s="2"/>
    </row>
    <row r="94" ht="15.75" customHeight="1">
      <c r="A94" s="2"/>
      <c r="B94" s="2"/>
      <c r="C94" s="2"/>
      <c r="D94" s="2"/>
      <c r="E94" s="2"/>
      <c r="F94" s="2"/>
      <c r="G94" s="2"/>
      <c r="H94" s="2"/>
    </row>
    <row r="95" ht="15.75" customHeight="1">
      <c r="A95" s="2"/>
      <c r="B95" s="2"/>
      <c r="C95" s="2"/>
      <c r="D95" s="2"/>
      <c r="E95" s="2"/>
      <c r="F95" s="2"/>
      <c r="G95" s="2"/>
      <c r="H95" s="2"/>
    </row>
    <row r="96" ht="15.75" customHeight="1">
      <c r="A96" s="2"/>
      <c r="B96" s="2"/>
      <c r="C96" s="2"/>
      <c r="D96" s="2"/>
      <c r="E96" s="2"/>
      <c r="F96" s="2"/>
      <c r="G96" s="2"/>
      <c r="H96" s="2"/>
    </row>
    <row r="97" ht="15.75" customHeight="1">
      <c r="A97" s="2"/>
      <c r="B97" s="2"/>
      <c r="C97" s="2"/>
      <c r="D97" s="2"/>
      <c r="E97" s="2"/>
      <c r="F97" s="2"/>
      <c r="G97" s="2"/>
      <c r="H97" s="2"/>
    </row>
    <row r="98" ht="15.75" customHeight="1">
      <c r="A98" s="2"/>
      <c r="B98" s="2"/>
      <c r="C98" s="2"/>
      <c r="D98" s="2"/>
      <c r="E98" s="2"/>
      <c r="F98" s="2"/>
      <c r="G98" s="2"/>
      <c r="H98" s="2"/>
    </row>
    <row r="99" ht="15.75" customHeight="1">
      <c r="A99" s="2"/>
      <c r="B99" s="2"/>
      <c r="C99" s="2"/>
      <c r="D99" s="2"/>
      <c r="E99" s="2"/>
      <c r="F99" s="2"/>
      <c r="G99" s="2"/>
      <c r="H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</row>
  </sheetData>
  <printOptions/>
  <pageMargins bottom="1.0" footer="0.0" header="0.0" left="0.75" right="0.75" top="1.0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4.0"/>
    <col customWidth="1" min="3" max="3" width="22.0"/>
    <col customWidth="1" min="4" max="4" width="30.0"/>
    <col customWidth="1" min="5" max="5" width="18.0"/>
    <col customWidth="1" min="6" max="6" width="13.0"/>
    <col customWidth="1" min="7" max="7" width="20.0"/>
    <col customWidth="1" min="8" max="8" width="24.0"/>
  </cols>
  <sheetData>
    <row r="1">
      <c r="A1" s="18" t="s">
        <v>483</v>
      </c>
      <c r="B1" s="2"/>
      <c r="C1" s="2"/>
      <c r="D1" s="2"/>
      <c r="E1" s="2"/>
      <c r="F1" s="2"/>
      <c r="G1" s="2"/>
      <c r="H1" s="2"/>
    </row>
    <row r="2">
      <c r="A2" s="19" t="s">
        <v>484</v>
      </c>
      <c r="B2" s="2"/>
      <c r="C2" s="2"/>
      <c r="D2" s="2"/>
      <c r="E2" s="2"/>
      <c r="F2" s="2"/>
      <c r="G2" s="2"/>
      <c r="H2" s="2"/>
    </row>
    <row r="3">
      <c r="A3" s="2"/>
      <c r="B3" s="2"/>
      <c r="C3" s="2"/>
      <c r="D3" s="2"/>
      <c r="E3" s="2"/>
      <c r="F3" s="2"/>
      <c r="G3" s="2"/>
      <c r="H3" s="2"/>
    </row>
    <row r="4">
      <c r="A4" s="20" t="s">
        <v>81</v>
      </c>
      <c r="B4" s="20" t="s">
        <v>82</v>
      </c>
      <c r="C4" s="20" t="s">
        <v>83</v>
      </c>
      <c r="D4" s="20" t="s">
        <v>84</v>
      </c>
      <c r="E4" s="20" t="s">
        <v>85</v>
      </c>
      <c r="F4" s="20" t="s">
        <v>86</v>
      </c>
      <c r="G4" s="20" t="s">
        <v>87</v>
      </c>
      <c r="H4" s="20" t="s">
        <v>9</v>
      </c>
    </row>
    <row r="5">
      <c r="A5" s="5">
        <v>1.0</v>
      </c>
      <c r="B5" s="5" t="s">
        <v>485</v>
      </c>
      <c r="C5" s="5">
        <v>60.0</v>
      </c>
      <c r="D5" s="6" t="s">
        <v>486</v>
      </c>
      <c r="E5" s="5" t="str">
        <f>C5</f>
        <v>60</v>
      </c>
      <c r="F5" s="5" t="str">
        <f t="shared" ref="F5:F9" si="1">480-E5</f>
        <v>420</v>
      </c>
      <c r="G5" s="8" t="str">
        <f t="shared" ref="G5:G9" si="2">E5/480</f>
        <v>12.5%</v>
      </c>
      <c r="H5" s="5" t="str">
        <f t="shared" ref="H5:H9" si="3">IF(G5&gt;=1, "100.0% (Package Over)", TEXT(MIN(G5*100, 99.9), "0.0") &amp; "%")</f>
        <v>12.5%</v>
      </c>
    </row>
    <row r="6">
      <c r="A6" s="5">
        <v>2.0</v>
      </c>
      <c r="B6" s="5" t="s">
        <v>66</v>
      </c>
      <c r="C6" s="5">
        <v>60.0</v>
      </c>
      <c r="D6" s="6" t="s">
        <v>487</v>
      </c>
      <c r="E6" s="5" t="str">
        <f t="shared" ref="E6:E9" si="4">E5+C6</f>
        <v>120</v>
      </c>
      <c r="F6" s="5" t="str">
        <f t="shared" si="1"/>
        <v>360</v>
      </c>
      <c r="G6" s="8" t="str">
        <f t="shared" si="2"/>
        <v>25.0%</v>
      </c>
      <c r="H6" s="5" t="str">
        <f t="shared" si="3"/>
        <v>25.0%</v>
      </c>
    </row>
    <row r="7">
      <c r="A7" s="5">
        <v>3.0</v>
      </c>
      <c r="B7" s="5" t="s">
        <v>303</v>
      </c>
      <c r="C7" s="5">
        <v>60.0</v>
      </c>
      <c r="D7" s="6" t="s">
        <v>487</v>
      </c>
      <c r="E7" s="5" t="str">
        <f t="shared" si="4"/>
        <v>180</v>
      </c>
      <c r="F7" s="5" t="str">
        <f t="shared" si="1"/>
        <v>300</v>
      </c>
      <c r="G7" s="8" t="str">
        <f t="shared" si="2"/>
        <v>37.5%</v>
      </c>
      <c r="H7" s="5" t="str">
        <f t="shared" si="3"/>
        <v>37.5%</v>
      </c>
    </row>
    <row r="8">
      <c r="A8" s="5">
        <v>4.0</v>
      </c>
      <c r="B8" s="5" t="s">
        <v>194</v>
      </c>
      <c r="C8" s="5">
        <v>60.0</v>
      </c>
      <c r="D8" s="6" t="s">
        <v>488</v>
      </c>
      <c r="E8" s="5" t="str">
        <f t="shared" si="4"/>
        <v>240</v>
      </c>
      <c r="F8" s="5" t="str">
        <f t="shared" si="1"/>
        <v>240</v>
      </c>
      <c r="G8" s="8" t="str">
        <f t="shared" si="2"/>
        <v>50.0%</v>
      </c>
      <c r="H8" s="5" t="str">
        <f t="shared" si="3"/>
        <v>50.0%</v>
      </c>
    </row>
    <row r="9">
      <c r="A9" s="5">
        <v>5.0</v>
      </c>
      <c r="B9" s="5" t="s">
        <v>194</v>
      </c>
      <c r="C9" s="5">
        <v>60.0</v>
      </c>
      <c r="D9" s="6" t="s">
        <v>489</v>
      </c>
      <c r="E9" s="5" t="str">
        <f t="shared" si="4"/>
        <v>300</v>
      </c>
      <c r="F9" s="5" t="str">
        <f t="shared" si="1"/>
        <v>180</v>
      </c>
      <c r="G9" s="8" t="str">
        <f t="shared" si="2"/>
        <v>62.5%</v>
      </c>
      <c r="H9" s="5" t="str">
        <f t="shared" si="3"/>
        <v>62.5%</v>
      </c>
    </row>
    <row r="10">
      <c r="A10" s="2"/>
      <c r="B10" s="2"/>
      <c r="C10" s="2"/>
      <c r="D10" s="2"/>
      <c r="E10" s="2"/>
      <c r="F10" s="2"/>
      <c r="G10" s="2"/>
      <c r="H10" s="2"/>
    </row>
    <row r="11">
      <c r="A11" s="2"/>
      <c r="B11" s="2"/>
      <c r="C11" s="2"/>
      <c r="D11" s="2"/>
      <c r="E11" s="2"/>
      <c r="F11" s="2"/>
      <c r="G11" s="2"/>
      <c r="H11" s="2"/>
    </row>
    <row r="12">
      <c r="A12" s="2"/>
      <c r="B12" s="2"/>
      <c r="C12" s="2"/>
      <c r="D12" s="2"/>
      <c r="E12" s="2"/>
      <c r="F12" s="2"/>
      <c r="G12" s="2"/>
      <c r="H12" s="2"/>
    </row>
    <row r="13">
      <c r="A13" s="2"/>
      <c r="B13" s="2"/>
      <c r="C13" s="2"/>
      <c r="D13" s="2"/>
      <c r="E13" s="2"/>
      <c r="F13" s="2"/>
      <c r="G13" s="2"/>
      <c r="H13" s="2"/>
    </row>
    <row r="14">
      <c r="A14" s="2"/>
      <c r="B14" s="2"/>
      <c r="C14" s="2"/>
      <c r="D14" s="2"/>
      <c r="E14" s="2"/>
      <c r="F14" s="2"/>
      <c r="G14" s="2"/>
      <c r="H14" s="2"/>
    </row>
    <row r="15">
      <c r="A15" s="2"/>
      <c r="B15" s="2"/>
      <c r="C15" s="2"/>
      <c r="D15" s="2"/>
      <c r="E15" s="2"/>
      <c r="F15" s="2"/>
      <c r="G15" s="2"/>
      <c r="H15" s="2"/>
    </row>
    <row r="16">
      <c r="A16" s="2"/>
      <c r="B16" s="2"/>
      <c r="C16" s="2"/>
      <c r="D16" s="2"/>
      <c r="E16" s="2"/>
      <c r="F16" s="2"/>
      <c r="G16" s="2"/>
      <c r="H16" s="2"/>
    </row>
    <row r="17">
      <c r="A17" s="2"/>
      <c r="B17" s="2"/>
      <c r="C17" s="2"/>
      <c r="D17" s="2"/>
      <c r="E17" s="2"/>
      <c r="F17" s="2"/>
      <c r="G17" s="2"/>
      <c r="H17" s="2"/>
    </row>
    <row r="18">
      <c r="A18" s="2"/>
      <c r="B18" s="2"/>
      <c r="C18" s="2"/>
      <c r="D18" s="2"/>
      <c r="E18" s="2"/>
      <c r="F18" s="2"/>
      <c r="G18" s="2"/>
      <c r="H18" s="2"/>
    </row>
    <row r="19">
      <c r="A19" s="2"/>
      <c r="B19" s="2"/>
      <c r="C19" s="2"/>
      <c r="D19" s="2"/>
      <c r="E19" s="2"/>
      <c r="F19" s="2"/>
      <c r="G19" s="2"/>
      <c r="H19" s="2"/>
    </row>
    <row r="20">
      <c r="A20" s="2"/>
      <c r="B20" s="2"/>
      <c r="C20" s="2"/>
      <c r="D20" s="2"/>
      <c r="E20" s="2"/>
      <c r="F20" s="2"/>
      <c r="G20" s="2"/>
      <c r="H20" s="2"/>
    </row>
    <row r="21" ht="15.75" customHeight="1">
      <c r="A21" s="2"/>
      <c r="B21" s="2"/>
      <c r="C21" s="2"/>
      <c r="D21" s="2"/>
      <c r="E21" s="2"/>
      <c r="F21" s="2"/>
      <c r="G21" s="2"/>
      <c r="H21" s="2"/>
    </row>
    <row r="22" ht="15.75" customHeight="1">
      <c r="A22" s="2"/>
      <c r="B22" s="2"/>
      <c r="C22" s="2"/>
      <c r="D22" s="2"/>
      <c r="E22" s="2"/>
      <c r="F22" s="2"/>
      <c r="G22" s="2"/>
      <c r="H22" s="2"/>
    </row>
    <row r="23" ht="15.75" customHeight="1">
      <c r="A23" s="2"/>
      <c r="B23" s="2"/>
      <c r="C23" s="2"/>
      <c r="D23" s="2"/>
      <c r="E23" s="2"/>
      <c r="F23" s="2"/>
      <c r="G23" s="2"/>
      <c r="H23" s="2"/>
    </row>
    <row r="24" ht="15.75" customHeight="1">
      <c r="A24" s="2"/>
      <c r="B24" s="2"/>
      <c r="C24" s="2"/>
      <c r="D24" s="2"/>
      <c r="E24" s="2"/>
      <c r="F24" s="2"/>
      <c r="G24" s="2"/>
      <c r="H24" s="2"/>
    </row>
    <row r="25" ht="15.75" customHeight="1">
      <c r="A25" s="2"/>
      <c r="B25" s="2"/>
      <c r="C25" s="2"/>
      <c r="D25" s="2"/>
      <c r="E25" s="2"/>
      <c r="F25" s="2"/>
      <c r="G25" s="2"/>
      <c r="H25" s="2"/>
    </row>
    <row r="26" ht="15.75" customHeight="1">
      <c r="A26" s="2"/>
      <c r="B26" s="2"/>
      <c r="C26" s="2"/>
      <c r="D26" s="2"/>
      <c r="E26" s="2"/>
      <c r="F26" s="2"/>
      <c r="G26" s="2"/>
      <c r="H26" s="2"/>
    </row>
    <row r="27" ht="15.75" customHeight="1">
      <c r="A27" s="2"/>
      <c r="B27" s="2"/>
      <c r="C27" s="2"/>
      <c r="D27" s="2"/>
      <c r="E27" s="2"/>
      <c r="F27" s="2"/>
      <c r="G27" s="2"/>
      <c r="H27" s="2"/>
    </row>
    <row r="28" ht="15.75" customHeight="1">
      <c r="A28" s="2"/>
      <c r="B28" s="2"/>
      <c r="C28" s="2"/>
      <c r="D28" s="2"/>
      <c r="E28" s="2"/>
      <c r="F28" s="2"/>
      <c r="G28" s="2"/>
      <c r="H28" s="2"/>
    </row>
    <row r="29" ht="15.75" customHeight="1">
      <c r="A29" s="2"/>
      <c r="B29" s="2"/>
      <c r="C29" s="2"/>
      <c r="D29" s="2"/>
      <c r="E29" s="2"/>
      <c r="F29" s="2"/>
      <c r="G29" s="2"/>
      <c r="H29" s="2"/>
    </row>
    <row r="30" ht="15.75" customHeight="1">
      <c r="A30" s="2"/>
      <c r="B30" s="2"/>
      <c r="C30" s="2"/>
      <c r="D30" s="2"/>
      <c r="E30" s="2"/>
      <c r="F30" s="2"/>
      <c r="G30" s="2"/>
      <c r="H30" s="2"/>
    </row>
    <row r="31" ht="15.75" customHeight="1">
      <c r="A31" s="2"/>
      <c r="B31" s="2"/>
      <c r="C31" s="2"/>
      <c r="D31" s="2"/>
      <c r="E31" s="2"/>
      <c r="F31" s="2"/>
      <c r="G31" s="2"/>
      <c r="H31" s="2"/>
    </row>
    <row r="32" ht="15.75" customHeight="1">
      <c r="A32" s="2"/>
      <c r="B32" s="2"/>
      <c r="C32" s="2"/>
      <c r="D32" s="2"/>
      <c r="E32" s="2"/>
      <c r="F32" s="2"/>
      <c r="G32" s="2"/>
      <c r="H32" s="2"/>
    </row>
    <row r="33" ht="15.75" customHeight="1">
      <c r="A33" s="2"/>
      <c r="B33" s="2"/>
      <c r="C33" s="2"/>
      <c r="D33" s="2"/>
      <c r="E33" s="2"/>
      <c r="F33" s="2"/>
      <c r="G33" s="2"/>
      <c r="H33" s="2"/>
    </row>
    <row r="34" ht="15.75" customHeight="1">
      <c r="A34" s="2"/>
      <c r="B34" s="2"/>
      <c r="C34" s="2"/>
      <c r="D34" s="2"/>
      <c r="E34" s="2"/>
      <c r="F34" s="2"/>
      <c r="G34" s="2"/>
      <c r="H34" s="2"/>
    </row>
    <row r="35" ht="15.75" customHeight="1">
      <c r="A35" s="2"/>
      <c r="B35" s="2"/>
      <c r="C35" s="2"/>
      <c r="D35" s="2"/>
      <c r="E35" s="2"/>
      <c r="F35" s="2"/>
      <c r="G35" s="2"/>
      <c r="H35" s="2"/>
    </row>
    <row r="36" ht="15.75" customHeight="1">
      <c r="A36" s="2"/>
      <c r="B36" s="2"/>
      <c r="C36" s="2"/>
      <c r="D36" s="2"/>
      <c r="E36" s="2"/>
      <c r="F36" s="2"/>
      <c r="G36" s="2"/>
      <c r="H36" s="2"/>
    </row>
    <row r="37" ht="15.75" customHeight="1">
      <c r="A37" s="2"/>
      <c r="B37" s="2"/>
      <c r="C37" s="2"/>
      <c r="D37" s="2"/>
      <c r="E37" s="2"/>
      <c r="F37" s="2"/>
      <c r="G37" s="2"/>
      <c r="H37" s="2"/>
    </row>
    <row r="38" ht="15.75" customHeight="1">
      <c r="A38" s="2"/>
      <c r="B38" s="2"/>
      <c r="C38" s="2"/>
      <c r="D38" s="2"/>
      <c r="E38" s="2"/>
      <c r="F38" s="2"/>
      <c r="G38" s="2"/>
      <c r="H38" s="2"/>
    </row>
    <row r="39" ht="15.75" customHeight="1">
      <c r="A39" s="2"/>
      <c r="B39" s="2"/>
      <c r="C39" s="2"/>
      <c r="D39" s="2"/>
      <c r="E39" s="2"/>
      <c r="F39" s="2"/>
      <c r="G39" s="2"/>
      <c r="H39" s="2"/>
    </row>
    <row r="40" ht="15.75" customHeight="1">
      <c r="A40" s="2"/>
      <c r="B40" s="2"/>
      <c r="C40" s="2"/>
      <c r="D40" s="2"/>
      <c r="E40" s="2"/>
      <c r="F40" s="2"/>
      <c r="G40" s="2"/>
      <c r="H40" s="2"/>
    </row>
    <row r="41" ht="15.75" customHeight="1">
      <c r="A41" s="2"/>
      <c r="B41" s="2"/>
      <c r="C41" s="2"/>
      <c r="D41" s="2"/>
      <c r="E41" s="2"/>
      <c r="F41" s="2"/>
      <c r="G41" s="2"/>
      <c r="H41" s="2"/>
    </row>
    <row r="42" ht="15.75" customHeight="1">
      <c r="A42" s="2"/>
      <c r="B42" s="2"/>
      <c r="C42" s="2"/>
      <c r="D42" s="2"/>
      <c r="E42" s="2"/>
      <c r="F42" s="2"/>
      <c r="G42" s="2"/>
      <c r="H42" s="2"/>
    </row>
    <row r="43" ht="15.75" customHeight="1">
      <c r="A43" s="2"/>
      <c r="B43" s="2"/>
      <c r="C43" s="2"/>
      <c r="D43" s="2"/>
      <c r="E43" s="2"/>
      <c r="F43" s="2"/>
      <c r="G43" s="2"/>
      <c r="H43" s="2"/>
    </row>
    <row r="44" ht="15.75" customHeight="1">
      <c r="A44" s="2"/>
      <c r="B44" s="2"/>
      <c r="C44" s="2"/>
      <c r="D44" s="2"/>
      <c r="E44" s="2"/>
      <c r="F44" s="2"/>
      <c r="G44" s="2"/>
      <c r="H44" s="2"/>
    </row>
    <row r="45" ht="15.75" customHeight="1">
      <c r="A45" s="2"/>
      <c r="B45" s="2"/>
      <c r="C45" s="2"/>
      <c r="D45" s="2"/>
      <c r="E45" s="2"/>
      <c r="F45" s="2"/>
      <c r="G45" s="2"/>
      <c r="H45" s="2"/>
    </row>
    <row r="46" ht="15.75" customHeight="1">
      <c r="A46" s="2"/>
      <c r="B46" s="2"/>
      <c r="C46" s="2"/>
      <c r="D46" s="2"/>
      <c r="E46" s="2"/>
      <c r="F46" s="2"/>
      <c r="G46" s="2"/>
      <c r="H46" s="2"/>
    </row>
    <row r="47" ht="15.75" customHeight="1">
      <c r="A47" s="2"/>
      <c r="B47" s="2"/>
      <c r="C47" s="2"/>
      <c r="D47" s="2"/>
      <c r="E47" s="2"/>
      <c r="F47" s="2"/>
      <c r="G47" s="2"/>
      <c r="H47" s="2"/>
    </row>
    <row r="48" ht="15.75" customHeight="1">
      <c r="A48" s="2"/>
      <c r="B48" s="2"/>
      <c r="C48" s="2"/>
      <c r="D48" s="2"/>
      <c r="E48" s="2"/>
      <c r="F48" s="2"/>
      <c r="G48" s="2"/>
      <c r="H48" s="2"/>
    </row>
    <row r="49" ht="15.75" customHeight="1">
      <c r="A49" s="2"/>
      <c r="B49" s="2"/>
      <c r="C49" s="2"/>
      <c r="D49" s="2"/>
      <c r="E49" s="2"/>
      <c r="F49" s="2"/>
      <c r="G49" s="2"/>
      <c r="H49" s="2"/>
    </row>
    <row r="50" ht="15.75" customHeight="1">
      <c r="A50" s="2"/>
      <c r="B50" s="2"/>
      <c r="C50" s="2"/>
      <c r="D50" s="2"/>
      <c r="E50" s="2"/>
      <c r="F50" s="2"/>
      <c r="G50" s="2"/>
      <c r="H50" s="2"/>
    </row>
    <row r="51" ht="15.75" customHeight="1">
      <c r="A51" s="2"/>
      <c r="B51" s="2"/>
      <c r="C51" s="2"/>
      <c r="D51" s="2"/>
      <c r="E51" s="2"/>
      <c r="F51" s="2"/>
      <c r="G51" s="2"/>
      <c r="H51" s="2"/>
    </row>
    <row r="52" ht="15.75" customHeight="1">
      <c r="A52" s="2"/>
      <c r="B52" s="2"/>
      <c r="C52" s="2"/>
      <c r="D52" s="2"/>
      <c r="E52" s="2"/>
      <c r="F52" s="2"/>
      <c r="G52" s="2"/>
      <c r="H52" s="2"/>
    </row>
    <row r="53" ht="15.75" customHeight="1">
      <c r="A53" s="2"/>
      <c r="B53" s="2"/>
      <c r="C53" s="2"/>
      <c r="D53" s="2"/>
      <c r="E53" s="2"/>
      <c r="F53" s="2"/>
      <c r="G53" s="2"/>
      <c r="H53" s="2"/>
    </row>
    <row r="54" ht="15.75" customHeight="1">
      <c r="A54" s="2"/>
      <c r="B54" s="2"/>
      <c r="C54" s="2"/>
      <c r="D54" s="2"/>
      <c r="E54" s="2"/>
      <c r="F54" s="2"/>
      <c r="G54" s="2"/>
      <c r="H54" s="2"/>
    </row>
    <row r="55" ht="15.75" customHeight="1">
      <c r="A55" s="2"/>
      <c r="B55" s="2"/>
      <c r="C55" s="2"/>
      <c r="D55" s="2"/>
      <c r="E55" s="2"/>
      <c r="F55" s="2"/>
      <c r="G55" s="2"/>
      <c r="H55" s="2"/>
    </row>
    <row r="56" ht="15.75" customHeight="1">
      <c r="A56" s="2"/>
      <c r="B56" s="2"/>
      <c r="C56" s="2"/>
      <c r="D56" s="2"/>
      <c r="E56" s="2"/>
      <c r="F56" s="2"/>
      <c r="G56" s="2"/>
      <c r="H56" s="2"/>
    </row>
    <row r="57" ht="15.75" customHeight="1">
      <c r="A57" s="2"/>
      <c r="B57" s="2"/>
      <c r="C57" s="2"/>
      <c r="D57" s="2"/>
      <c r="E57" s="2"/>
      <c r="F57" s="2"/>
      <c r="G57" s="2"/>
      <c r="H57" s="2"/>
    </row>
    <row r="58" ht="15.75" customHeight="1">
      <c r="A58" s="2"/>
      <c r="B58" s="2"/>
      <c r="C58" s="2"/>
      <c r="D58" s="2"/>
      <c r="E58" s="2"/>
      <c r="F58" s="2"/>
      <c r="G58" s="2"/>
      <c r="H58" s="2"/>
    </row>
    <row r="59" ht="15.75" customHeight="1">
      <c r="A59" s="2"/>
      <c r="B59" s="2"/>
      <c r="C59" s="2"/>
      <c r="D59" s="2"/>
      <c r="E59" s="2"/>
      <c r="F59" s="2"/>
      <c r="G59" s="2"/>
      <c r="H59" s="2"/>
    </row>
    <row r="60" ht="15.75" customHeight="1">
      <c r="A60" s="2"/>
      <c r="B60" s="2"/>
      <c r="C60" s="2"/>
      <c r="D60" s="2"/>
      <c r="E60" s="2"/>
      <c r="F60" s="2"/>
      <c r="G60" s="2"/>
      <c r="H60" s="2"/>
    </row>
    <row r="61" ht="15.75" customHeight="1">
      <c r="A61" s="2"/>
      <c r="B61" s="2"/>
      <c r="C61" s="2"/>
      <c r="D61" s="2"/>
      <c r="E61" s="2"/>
      <c r="F61" s="2"/>
      <c r="G61" s="2"/>
      <c r="H61" s="2"/>
    </row>
    <row r="62" ht="15.75" customHeight="1">
      <c r="A62" s="2"/>
      <c r="B62" s="2"/>
      <c r="C62" s="2"/>
      <c r="D62" s="2"/>
      <c r="E62" s="2"/>
      <c r="F62" s="2"/>
      <c r="G62" s="2"/>
      <c r="H62" s="2"/>
    </row>
    <row r="63" ht="15.75" customHeight="1">
      <c r="A63" s="2"/>
      <c r="B63" s="2"/>
      <c r="C63" s="2"/>
      <c r="D63" s="2"/>
      <c r="E63" s="2"/>
      <c r="F63" s="2"/>
      <c r="G63" s="2"/>
      <c r="H63" s="2"/>
    </row>
    <row r="64" ht="15.75" customHeight="1">
      <c r="A64" s="2"/>
      <c r="B64" s="2"/>
      <c r="C64" s="2"/>
      <c r="D64" s="2"/>
      <c r="E64" s="2"/>
      <c r="F64" s="2"/>
      <c r="G64" s="2"/>
      <c r="H64" s="2"/>
    </row>
    <row r="65" ht="15.75" customHeight="1">
      <c r="A65" s="2"/>
      <c r="B65" s="2"/>
      <c r="C65" s="2"/>
      <c r="D65" s="2"/>
      <c r="E65" s="2"/>
      <c r="F65" s="2"/>
      <c r="G65" s="2"/>
      <c r="H65" s="2"/>
    </row>
    <row r="66" ht="15.75" customHeight="1">
      <c r="A66" s="2"/>
      <c r="B66" s="2"/>
      <c r="C66" s="2"/>
      <c r="D66" s="2"/>
      <c r="E66" s="2"/>
      <c r="F66" s="2"/>
      <c r="G66" s="2"/>
      <c r="H66" s="2"/>
    </row>
    <row r="67" ht="15.75" customHeight="1">
      <c r="A67" s="2"/>
      <c r="B67" s="2"/>
      <c r="C67" s="2"/>
      <c r="D67" s="2"/>
      <c r="E67" s="2"/>
      <c r="F67" s="2"/>
      <c r="G67" s="2"/>
      <c r="H67" s="2"/>
    </row>
    <row r="68" ht="15.75" customHeight="1">
      <c r="A68" s="2"/>
      <c r="B68" s="2"/>
      <c r="C68" s="2"/>
      <c r="D68" s="2"/>
      <c r="E68" s="2"/>
      <c r="F68" s="2"/>
      <c r="G68" s="2"/>
      <c r="H68" s="2"/>
    </row>
    <row r="69" ht="15.75" customHeight="1">
      <c r="A69" s="2"/>
      <c r="B69" s="2"/>
      <c r="C69" s="2"/>
      <c r="D69" s="2"/>
      <c r="E69" s="2"/>
      <c r="F69" s="2"/>
      <c r="G69" s="2"/>
      <c r="H69" s="2"/>
    </row>
    <row r="70" ht="15.75" customHeight="1">
      <c r="A70" s="2"/>
      <c r="B70" s="2"/>
      <c r="C70" s="2"/>
      <c r="D70" s="2"/>
      <c r="E70" s="2"/>
      <c r="F70" s="2"/>
      <c r="G70" s="2"/>
      <c r="H70" s="2"/>
    </row>
    <row r="71" ht="15.75" customHeight="1">
      <c r="A71" s="2"/>
      <c r="B71" s="2"/>
      <c r="C71" s="2"/>
      <c r="D71" s="2"/>
      <c r="E71" s="2"/>
      <c r="F71" s="2"/>
      <c r="G71" s="2"/>
      <c r="H71" s="2"/>
    </row>
    <row r="72" ht="15.75" customHeight="1">
      <c r="A72" s="2"/>
      <c r="B72" s="2"/>
      <c r="C72" s="2"/>
      <c r="D72" s="2"/>
      <c r="E72" s="2"/>
      <c r="F72" s="2"/>
      <c r="G72" s="2"/>
      <c r="H72" s="2"/>
    </row>
    <row r="73" ht="15.75" customHeight="1">
      <c r="A73" s="2"/>
      <c r="B73" s="2"/>
      <c r="C73" s="2"/>
      <c r="D73" s="2"/>
      <c r="E73" s="2"/>
      <c r="F73" s="2"/>
      <c r="G73" s="2"/>
      <c r="H73" s="2"/>
    </row>
    <row r="74" ht="15.75" customHeight="1">
      <c r="A74" s="2"/>
      <c r="B74" s="2"/>
      <c r="C74" s="2"/>
      <c r="D74" s="2"/>
      <c r="E74" s="2"/>
      <c r="F74" s="2"/>
      <c r="G74" s="2"/>
      <c r="H74" s="2"/>
    </row>
    <row r="75" ht="15.75" customHeight="1">
      <c r="A75" s="2"/>
      <c r="B75" s="2"/>
      <c r="C75" s="2"/>
      <c r="D75" s="2"/>
      <c r="E75" s="2"/>
      <c r="F75" s="2"/>
      <c r="G75" s="2"/>
      <c r="H75" s="2"/>
    </row>
    <row r="76" ht="15.75" customHeight="1">
      <c r="A76" s="2"/>
      <c r="B76" s="2"/>
      <c r="C76" s="2"/>
      <c r="D76" s="2"/>
      <c r="E76" s="2"/>
      <c r="F76" s="2"/>
      <c r="G76" s="2"/>
      <c r="H76" s="2"/>
    </row>
    <row r="77" ht="15.75" customHeight="1">
      <c r="A77" s="2"/>
      <c r="B77" s="2"/>
      <c r="C77" s="2"/>
      <c r="D77" s="2"/>
      <c r="E77" s="2"/>
      <c r="F77" s="2"/>
      <c r="G77" s="2"/>
      <c r="H77" s="2"/>
    </row>
    <row r="78" ht="15.75" customHeight="1">
      <c r="A78" s="2"/>
      <c r="B78" s="2"/>
      <c r="C78" s="2"/>
      <c r="D78" s="2"/>
      <c r="E78" s="2"/>
      <c r="F78" s="2"/>
      <c r="G78" s="2"/>
      <c r="H78" s="2"/>
    </row>
    <row r="79" ht="15.75" customHeight="1">
      <c r="A79" s="2"/>
      <c r="B79" s="2"/>
      <c r="C79" s="2"/>
      <c r="D79" s="2"/>
      <c r="E79" s="2"/>
      <c r="F79" s="2"/>
      <c r="G79" s="2"/>
      <c r="H79" s="2"/>
    </row>
    <row r="80" ht="15.75" customHeight="1">
      <c r="A80" s="2"/>
      <c r="B80" s="2"/>
      <c r="C80" s="2"/>
      <c r="D80" s="2"/>
      <c r="E80" s="2"/>
      <c r="F80" s="2"/>
      <c r="G80" s="2"/>
      <c r="H80" s="2"/>
    </row>
    <row r="81" ht="15.75" customHeight="1">
      <c r="A81" s="2"/>
      <c r="B81" s="2"/>
      <c r="C81" s="2"/>
      <c r="D81" s="2"/>
      <c r="E81" s="2"/>
      <c r="F81" s="2"/>
      <c r="G81" s="2"/>
      <c r="H81" s="2"/>
    </row>
    <row r="82" ht="15.75" customHeight="1">
      <c r="A82" s="2"/>
      <c r="B82" s="2"/>
      <c r="C82" s="2"/>
      <c r="D82" s="2"/>
      <c r="E82" s="2"/>
      <c r="F82" s="2"/>
      <c r="G82" s="2"/>
      <c r="H82" s="2"/>
    </row>
    <row r="83" ht="15.75" customHeight="1">
      <c r="A83" s="2"/>
      <c r="B83" s="2"/>
      <c r="C83" s="2"/>
      <c r="D83" s="2"/>
      <c r="E83" s="2"/>
      <c r="F83" s="2"/>
      <c r="G83" s="2"/>
      <c r="H83" s="2"/>
    </row>
    <row r="84" ht="15.75" customHeight="1">
      <c r="A84" s="2"/>
      <c r="B84" s="2"/>
      <c r="C84" s="2"/>
      <c r="D84" s="2"/>
      <c r="E84" s="2"/>
      <c r="F84" s="2"/>
      <c r="G84" s="2"/>
      <c r="H84" s="2"/>
    </row>
    <row r="85" ht="15.75" customHeight="1">
      <c r="A85" s="2"/>
      <c r="B85" s="2"/>
      <c r="C85" s="2"/>
      <c r="D85" s="2"/>
      <c r="E85" s="2"/>
      <c r="F85" s="2"/>
      <c r="G85" s="2"/>
      <c r="H85" s="2"/>
    </row>
    <row r="86" ht="15.75" customHeight="1">
      <c r="A86" s="2"/>
      <c r="B86" s="2"/>
      <c r="C86" s="2"/>
      <c r="D86" s="2"/>
      <c r="E86" s="2"/>
      <c r="F86" s="2"/>
      <c r="G86" s="2"/>
      <c r="H86" s="2"/>
    </row>
    <row r="87" ht="15.75" customHeight="1">
      <c r="A87" s="2"/>
      <c r="B87" s="2"/>
      <c r="C87" s="2"/>
      <c r="D87" s="2"/>
      <c r="E87" s="2"/>
      <c r="F87" s="2"/>
      <c r="G87" s="2"/>
      <c r="H87" s="2"/>
    </row>
    <row r="88" ht="15.75" customHeight="1">
      <c r="A88" s="2"/>
      <c r="B88" s="2"/>
      <c r="C88" s="2"/>
      <c r="D88" s="2"/>
      <c r="E88" s="2"/>
      <c r="F88" s="2"/>
      <c r="G88" s="2"/>
      <c r="H88" s="2"/>
    </row>
    <row r="89" ht="15.75" customHeight="1">
      <c r="A89" s="2"/>
      <c r="B89" s="2"/>
      <c r="C89" s="2"/>
      <c r="D89" s="2"/>
      <c r="E89" s="2"/>
      <c r="F89" s="2"/>
      <c r="G89" s="2"/>
      <c r="H89" s="2"/>
    </row>
    <row r="90" ht="15.75" customHeight="1">
      <c r="A90" s="2"/>
      <c r="B90" s="2"/>
      <c r="C90" s="2"/>
      <c r="D90" s="2"/>
      <c r="E90" s="2"/>
      <c r="F90" s="2"/>
      <c r="G90" s="2"/>
      <c r="H90" s="2"/>
    </row>
    <row r="91" ht="15.75" customHeight="1">
      <c r="A91" s="2"/>
      <c r="B91" s="2"/>
      <c r="C91" s="2"/>
      <c r="D91" s="2"/>
      <c r="E91" s="2"/>
      <c r="F91" s="2"/>
      <c r="G91" s="2"/>
      <c r="H91" s="2"/>
    </row>
    <row r="92" ht="15.75" customHeight="1">
      <c r="A92" s="2"/>
      <c r="B92" s="2"/>
      <c r="C92" s="2"/>
      <c r="D92" s="2"/>
      <c r="E92" s="2"/>
      <c r="F92" s="2"/>
      <c r="G92" s="2"/>
      <c r="H92" s="2"/>
    </row>
    <row r="93" ht="15.75" customHeight="1">
      <c r="A93" s="2"/>
      <c r="B93" s="2"/>
      <c r="C93" s="2"/>
      <c r="D93" s="2"/>
      <c r="E93" s="2"/>
      <c r="F93" s="2"/>
      <c r="G93" s="2"/>
      <c r="H93" s="2"/>
    </row>
    <row r="94" ht="15.75" customHeight="1">
      <c r="A94" s="2"/>
      <c r="B94" s="2"/>
      <c r="C94" s="2"/>
      <c r="D94" s="2"/>
      <c r="E94" s="2"/>
      <c r="F94" s="2"/>
      <c r="G94" s="2"/>
      <c r="H94" s="2"/>
    </row>
    <row r="95" ht="15.75" customHeight="1">
      <c r="A95" s="2"/>
      <c r="B95" s="2"/>
      <c r="C95" s="2"/>
      <c r="D95" s="2"/>
      <c r="E95" s="2"/>
      <c r="F95" s="2"/>
      <c r="G95" s="2"/>
      <c r="H95" s="2"/>
    </row>
    <row r="96" ht="15.75" customHeight="1">
      <c r="A96" s="2"/>
      <c r="B96" s="2"/>
      <c r="C96" s="2"/>
      <c r="D96" s="2"/>
      <c r="E96" s="2"/>
      <c r="F96" s="2"/>
      <c r="G96" s="2"/>
      <c r="H96" s="2"/>
    </row>
    <row r="97" ht="15.75" customHeight="1">
      <c r="A97" s="2"/>
      <c r="B97" s="2"/>
      <c r="C97" s="2"/>
      <c r="D97" s="2"/>
      <c r="E97" s="2"/>
      <c r="F97" s="2"/>
      <c r="G97" s="2"/>
      <c r="H97" s="2"/>
    </row>
    <row r="98" ht="15.75" customHeight="1">
      <c r="A98" s="2"/>
      <c r="B98" s="2"/>
      <c r="C98" s="2"/>
      <c r="D98" s="2"/>
      <c r="E98" s="2"/>
      <c r="F98" s="2"/>
      <c r="G98" s="2"/>
      <c r="H98" s="2"/>
    </row>
    <row r="99" ht="15.75" customHeight="1">
      <c r="A99" s="2"/>
      <c r="B99" s="2"/>
      <c r="C99" s="2"/>
      <c r="D99" s="2"/>
      <c r="E99" s="2"/>
      <c r="F99" s="2"/>
      <c r="G99" s="2"/>
      <c r="H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</row>
  </sheetData>
  <printOptions/>
  <pageMargins bottom="1.0" footer="0.0" header="0.0" left="0.75" right="0.75" top="1.0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4.0"/>
    <col customWidth="1" min="3" max="3" width="22.0"/>
    <col customWidth="1" min="4" max="4" width="30.0"/>
    <col customWidth="1" min="5" max="5" width="18.0"/>
    <col customWidth="1" min="6" max="6" width="13.0"/>
    <col customWidth="1" min="7" max="7" width="20.0"/>
    <col customWidth="1" min="8" max="8" width="24.0"/>
  </cols>
  <sheetData>
    <row r="1">
      <c r="A1" s="18" t="s">
        <v>490</v>
      </c>
      <c r="B1" s="2"/>
      <c r="C1" s="2"/>
      <c r="D1" s="2"/>
      <c r="E1" s="2"/>
      <c r="F1" s="2"/>
      <c r="G1" s="2"/>
      <c r="H1" s="2"/>
    </row>
    <row r="2">
      <c r="A2" s="19" t="s">
        <v>491</v>
      </c>
      <c r="B2" s="2"/>
      <c r="C2" s="2"/>
      <c r="D2" s="2"/>
      <c r="E2" s="2"/>
      <c r="F2" s="2"/>
      <c r="G2" s="2"/>
      <c r="H2" s="2"/>
    </row>
    <row r="3">
      <c r="A3" s="2"/>
      <c r="B3" s="2"/>
      <c r="C3" s="2"/>
      <c r="D3" s="2"/>
      <c r="E3" s="2"/>
      <c r="F3" s="2"/>
      <c r="G3" s="2"/>
      <c r="H3" s="2"/>
    </row>
    <row r="4">
      <c r="A4" s="20" t="s">
        <v>81</v>
      </c>
      <c r="B4" s="20" t="s">
        <v>82</v>
      </c>
      <c r="C4" s="20" t="s">
        <v>83</v>
      </c>
      <c r="D4" s="20" t="s">
        <v>84</v>
      </c>
      <c r="E4" s="20" t="s">
        <v>85</v>
      </c>
      <c r="F4" s="20" t="s">
        <v>86</v>
      </c>
      <c r="G4" s="20" t="s">
        <v>87</v>
      </c>
      <c r="H4" s="20" t="s">
        <v>9</v>
      </c>
    </row>
    <row r="5">
      <c r="A5" s="5">
        <v>1.0</v>
      </c>
      <c r="B5" s="5" t="s">
        <v>68</v>
      </c>
      <c r="C5" s="5">
        <v>60.0</v>
      </c>
      <c r="D5" s="6" t="s">
        <v>91</v>
      </c>
      <c r="E5" s="5" t="str">
        <f>C5</f>
        <v>60</v>
      </c>
      <c r="F5" s="5" t="str">
        <f t="shared" ref="F5:F8" si="1">480-E5</f>
        <v>420</v>
      </c>
      <c r="G5" s="8" t="str">
        <f t="shared" ref="G5:G8" si="2">E5/480</f>
        <v>12.5%</v>
      </c>
      <c r="H5" s="5" t="str">
        <f t="shared" ref="H5:H8" si="3">IF(G5&gt;=1, "100.0% (Package Over)", TEXT(MIN(G5*100, 99.9), "0.0") &amp; "%")</f>
        <v>12.5%</v>
      </c>
    </row>
    <row r="6">
      <c r="A6" s="5">
        <v>2.0</v>
      </c>
      <c r="B6" s="5" t="s">
        <v>68</v>
      </c>
      <c r="C6" s="5">
        <v>60.0</v>
      </c>
      <c r="D6" s="6" t="s">
        <v>119</v>
      </c>
      <c r="E6" s="5" t="str">
        <f t="shared" ref="E6:E8" si="4">E5+C6</f>
        <v>120</v>
      </c>
      <c r="F6" s="5" t="str">
        <f t="shared" si="1"/>
        <v>360</v>
      </c>
      <c r="G6" s="8" t="str">
        <f t="shared" si="2"/>
        <v>25.0%</v>
      </c>
      <c r="H6" s="5" t="str">
        <f t="shared" si="3"/>
        <v>25.0%</v>
      </c>
    </row>
    <row r="7">
      <c r="A7" s="5">
        <v>3.0</v>
      </c>
      <c r="B7" s="5" t="s">
        <v>129</v>
      </c>
      <c r="C7" s="5">
        <v>60.0</v>
      </c>
      <c r="D7" s="6" t="s">
        <v>91</v>
      </c>
      <c r="E7" s="5" t="str">
        <f t="shared" si="4"/>
        <v>180</v>
      </c>
      <c r="F7" s="5" t="str">
        <f t="shared" si="1"/>
        <v>300</v>
      </c>
      <c r="G7" s="8" t="str">
        <f t="shared" si="2"/>
        <v>37.5%</v>
      </c>
      <c r="H7" s="5" t="str">
        <f t="shared" si="3"/>
        <v>37.5%</v>
      </c>
    </row>
    <row r="8">
      <c r="A8" s="5">
        <v>4.0</v>
      </c>
      <c r="B8" s="5" t="s">
        <v>129</v>
      </c>
      <c r="C8" s="5">
        <v>60.0</v>
      </c>
      <c r="D8" s="6" t="s">
        <v>130</v>
      </c>
      <c r="E8" s="5" t="str">
        <f t="shared" si="4"/>
        <v>240</v>
      </c>
      <c r="F8" s="5" t="str">
        <f t="shared" si="1"/>
        <v>240</v>
      </c>
      <c r="G8" s="8" t="str">
        <f t="shared" si="2"/>
        <v>50.0%</v>
      </c>
      <c r="H8" s="5" t="str">
        <f t="shared" si="3"/>
        <v>50.0%</v>
      </c>
    </row>
    <row r="9">
      <c r="A9" s="2"/>
      <c r="B9" s="2"/>
      <c r="C9" s="2"/>
      <c r="D9" s="2"/>
      <c r="E9" s="2"/>
      <c r="F9" s="2"/>
      <c r="G9" s="2"/>
      <c r="H9" s="2"/>
    </row>
    <row r="10">
      <c r="A10" s="2"/>
      <c r="B10" s="2"/>
      <c r="C10" s="2"/>
      <c r="D10" s="2"/>
      <c r="E10" s="2"/>
      <c r="F10" s="2"/>
      <c r="G10" s="2"/>
      <c r="H10" s="2"/>
    </row>
    <row r="11">
      <c r="A11" s="2"/>
      <c r="B11" s="2"/>
      <c r="C11" s="2"/>
      <c r="D11" s="2"/>
      <c r="E11" s="2"/>
      <c r="F11" s="2"/>
      <c r="G11" s="2"/>
      <c r="H11" s="2"/>
    </row>
    <row r="12">
      <c r="A12" s="2"/>
      <c r="B12" s="2"/>
      <c r="C12" s="2"/>
      <c r="D12" s="2"/>
      <c r="E12" s="2"/>
      <c r="F12" s="2"/>
      <c r="G12" s="2"/>
      <c r="H12" s="2"/>
    </row>
    <row r="13">
      <c r="A13" s="2"/>
      <c r="B13" s="2"/>
      <c r="C13" s="2"/>
      <c r="D13" s="2"/>
      <c r="E13" s="2"/>
      <c r="F13" s="2"/>
      <c r="G13" s="2"/>
      <c r="H13" s="2"/>
    </row>
    <row r="14">
      <c r="A14" s="2"/>
      <c r="B14" s="2"/>
      <c r="C14" s="2"/>
      <c r="D14" s="2"/>
      <c r="E14" s="2"/>
      <c r="F14" s="2"/>
      <c r="G14" s="2"/>
      <c r="H14" s="2"/>
    </row>
    <row r="15">
      <c r="A15" s="2"/>
      <c r="B15" s="2"/>
      <c r="C15" s="2"/>
      <c r="D15" s="2"/>
      <c r="E15" s="2"/>
      <c r="F15" s="2"/>
      <c r="G15" s="2"/>
      <c r="H15" s="2"/>
    </row>
    <row r="16">
      <c r="A16" s="2"/>
      <c r="B16" s="2"/>
      <c r="C16" s="2"/>
      <c r="D16" s="2"/>
      <c r="E16" s="2"/>
      <c r="F16" s="2"/>
      <c r="G16" s="2"/>
      <c r="H16" s="2"/>
    </row>
    <row r="17">
      <c r="A17" s="2"/>
      <c r="B17" s="2"/>
      <c r="C17" s="2"/>
      <c r="D17" s="2"/>
      <c r="E17" s="2"/>
      <c r="F17" s="2"/>
      <c r="G17" s="2"/>
      <c r="H17" s="2"/>
    </row>
    <row r="18">
      <c r="A18" s="2"/>
      <c r="B18" s="2"/>
      <c r="C18" s="2"/>
      <c r="D18" s="2"/>
      <c r="E18" s="2"/>
      <c r="F18" s="2"/>
      <c r="G18" s="2"/>
      <c r="H18" s="2"/>
    </row>
    <row r="19">
      <c r="A19" s="2"/>
      <c r="B19" s="2"/>
      <c r="C19" s="2"/>
      <c r="D19" s="2"/>
      <c r="E19" s="2"/>
      <c r="F19" s="2"/>
      <c r="G19" s="2"/>
      <c r="H19" s="2"/>
    </row>
    <row r="20">
      <c r="A20" s="2"/>
      <c r="B20" s="2"/>
      <c r="C20" s="2"/>
      <c r="D20" s="2"/>
      <c r="E20" s="2"/>
      <c r="F20" s="2"/>
      <c r="G20" s="2"/>
      <c r="H20" s="2"/>
    </row>
    <row r="21" ht="15.75" customHeight="1">
      <c r="A21" s="2"/>
      <c r="B21" s="2"/>
      <c r="C21" s="2"/>
      <c r="D21" s="2"/>
      <c r="E21" s="2"/>
      <c r="F21" s="2"/>
      <c r="G21" s="2"/>
      <c r="H21" s="2"/>
    </row>
    <row r="22" ht="15.75" customHeight="1">
      <c r="A22" s="2"/>
      <c r="B22" s="2"/>
      <c r="C22" s="2"/>
      <c r="D22" s="2"/>
      <c r="E22" s="2"/>
      <c r="F22" s="2"/>
      <c r="G22" s="2"/>
      <c r="H22" s="2"/>
    </row>
    <row r="23" ht="15.75" customHeight="1">
      <c r="A23" s="2"/>
      <c r="B23" s="2"/>
      <c r="C23" s="2"/>
      <c r="D23" s="2"/>
      <c r="E23" s="2"/>
      <c r="F23" s="2"/>
      <c r="G23" s="2"/>
      <c r="H23" s="2"/>
    </row>
    <row r="24" ht="15.75" customHeight="1">
      <c r="A24" s="2"/>
      <c r="B24" s="2"/>
      <c r="C24" s="2"/>
      <c r="D24" s="2"/>
      <c r="E24" s="2"/>
      <c r="F24" s="2"/>
      <c r="G24" s="2"/>
      <c r="H24" s="2"/>
    </row>
    <row r="25" ht="15.75" customHeight="1">
      <c r="A25" s="2"/>
      <c r="B25" s="2"/>
      <c r="C25" s="2"/>
      <c r="D25" s="2"/>
      <c r="E25" s="2"/>
      <c r="F25" s="2"/>
      <c r="G25" s="2"/>
      <c r="H25" s="2"/>
    </row>
    <row r="26" ht="15.75" customHeight="1">
      <c r="A26" s="2"/>
      <c r="B26" s="2"/>
      <c r="C26" s="2"/>
      <c r="D26" s="2"/>
      <c r="E26" s="2"/>
      <c r="F26" s="2"/>
      <c r="G26" s="2"/>
      <c r="H26" s="2"/>
    </row>
    <row r="27" ht="15.75" customHeight="1">
      <c r="A27" s="2"/>
      <c r="B27" s="2"/>
      <c r="C27" s="2"/>
      <c r="D27" s="2"/>
      <c r="E27" s="2"/>
      <c r="F27" s="2"/>
      <c r="G27" s="2"/>
      <c r="H27" s="2"/>
    </row>
    <row r="28" ht="15.75" customHeight="1">
      <c r="A28" s="2"/>
      <c r="B28" s="2"/>
      <c r="C28" s="2"/>
      <c r="D28" s="2"/>
      <c r="E28" s="2"/>
      <c r="F28" s="2"/>
      <c r="G28" s="2"/>
      <c r="H28" s="2"/>
    </row>
    <row r="29" ht="15.75" customHeight="1">
      <c r="A29" s="2"/>
      <c r="B29" s="2"/>
      <c r="C29" s="2"/>
      <c r="D29" s="2"/>
      <c r="E29" s="2"/>
      <c r="F29" s="2"/>
      <c r="G29" s="2"/>
      <c r="H29" s="2"/>
    </row>
    <row r="30" ht="15.75" customHeight="1">
      <c r="A30" s="2"/>
      <c r="B30" s="2"/>
      <c r="C30" s="2"/>
      <c r="D30" s="2"/>
      <c r="E30" s="2"/>
      <c r="F30" s="2"/>
      <c r="G30" s="2"/>
      <c r="H30" s="2"/>
    </row>
    <row r="31" ht="15.75" customHeight="1">
      <c r="A31" s="2"/>
      <c r="B31" s="2"/>
      <c r="C31" s="2"/>
      <c r="D31" s="2"/>
      <c r="E31" s="2"/>
      <c r="F31" s="2"/>
      <c r="G31" s="2"/>
      <c r="H31" s="2"/>
    </row>
    <row r="32" ht="15.75" customHeight="1">
      <c r="A32" s="2"/>
      <c r="B32" s="2"/>
      <c r="C32" s="2"/>
      <c r="D32" s="2"/>
      <c r="E32" s="2"/>
      <c r="F32" s="2"/>
      <c r="G32" s="2"/>
      <c r="H32" s="2"/>
    </row>
    <row r="33" ht="15.75" customHeight="1">
      <c r="A33" s="2"/>
      <c r="B33" s="2"/>
      <c r="C33" s="2"/>
      <c r="D33" s="2"/>
      <c r="E33" s="2"/>
      <c r="F33" s="2"/>
      <c r="G33" s="2"/>
      <c r="H33" s="2"/>
    </row>
    <row r="34" ht="15.75" customHeight="1">
      <c r="A34" s="2"/>
      <c r="B34" s="2"/>
      <c r="C34" s="2"/>
      <c r="D34" s="2"/>
      <c r="E34" s="2"/>
      <c r="F34" s="2"/>
      <c r="G34" s="2"/>
      <c r="H34" s="2"/>
    </row>
    <row r="35" ht="15.75" customHeight="1">
      <c r="A35" s="2"/>
      <c r="B35" s="2"/>
      <c r="C35" s="2"/>
      <c r="D35" s="2"/>
      <c r="E35" s="2"/>
      <c r="F35" s="2"/>
      <c r="G35" s="2"/>
      <c r="H35" s="2"/>
    </row>
    <row r="36" ht="15.75" customHeight="1">
      <c r="A36" s="2"/>
      <c r="B36" s="2"/>
      <c r="C36" s="2"/>
      <c r="D36" s="2"/>
      <c r="E36" s="2"/>
      <c r="F36" s="2"/>
      <c r="G36" s="2"/>
      <c r="H36" s="2"/>
    </row>
    <row r="37" ht="15.75" customHeight="1">
      <c r="A37" s="2"/>
      <c r="B37" s="2"/>
      <c r="C37" s="2"/>
      <c r="D37" s="2"/>
      <c r="E37" s="2"/>
      <c r="F37" s="2"/>
      <c r="G37" s="2"/>
      <c r="H37" s="2"/>
    </row>
    <row r="38" ht="15.75" customHeight="1">
      <c r="A38" s="2"/>
      <c r="B38" s="2"/>
      <c r="C38" s="2"/>
      <c r="D38" s="2"/>
      <c r="E38" s="2"/>
      <c r="F38" s="2"/>
      <c r="G38" s="2"/>
      <c r="H38" s="2"/>
    </row>
    <row r="39" ht="15.75" customHeight="1">
      <c r="A39" s="2"/>
      <c r="B39" s="2"/>
      <c r="C39" s="2"/>
      <c r="D39" s="2"/>
      <c r="E39" s="2"/>
      <c r="F39" s="2"/>
      <c r="G39" s="2"/>
      <c r="H39" s="2"/>
    </row>
    <row r="40" ht="15.75" customHeight="1">
      <c r="A40" s="2"/>
      <c r="B40" s="2"/>
      <c r="C40" s="2"/>
      <c r="D40" s="2"/>
      <c r="E40" s="2"/>
      <c r="F40" s="2"/>
      <c r="G40" s="2"/>
      <c r="H40" s="2"/>
    </row>
    <row r="41" ht="15.75" customHeight="1">
      <c r="A41" s="2"/>
      <c r="B41" s="2"/>
      <c r="C41" s="2"/>
      <c r="D41" s="2"/>
      <c r="E41" s="2"/>
      <c r="F41" s="2"/>
      <c r="G41" s="2"/>
      <c r="H41" s="2"/>
    </row>
    <row r="42" ht="15.75" customHeight="1">
      <c r="A42" s="2"/>
      <c r="B42" s="2"/>
      <c r="C42" s="2"/>
      <c r="D42" s="2"/>
      <c r="E42" s="2"/>
      <c r="F42" s="2"/>
      <c r="G42" s="2"/>
      <c r="H42" s="2"/>
    </row>
    <row r="43" ht="15.75" customHeight="1">
      <c r="A43" s="2"/>
      <c r="B43" s="2"/>
      <c r="C43" s="2"/>
      <c r="D43" s="2"/>
      <c r="E43" s="2"/>
      <c r="F43" s="2"/>
      <c r="G43" s="2"/>
      <c r="H43" s="2"/>
    </row>
    <row r="44" ht="15.75" customHeight="1">
      <c r="A44" s="2"/>
      <c r="B44" s="2"/>
      <c r="C44" s="2"/>
      <c r="D44" s="2"/>
      <c r="E44" s="2"/>
      <c r="F44" s="2"/>
      <c r="G44" s="2"/>
      <c r="H44" s="2"/>
    </row>
    <row r="45" ht="15.75" customHeight="1">
      <c r="A45" s="2"/>
      <c r="B45" s="2"/>
      <c r="C45" s="2"/>
      <c r="D45" s="2"/>
      <c r="E45" s="2"/>
      <c r="F45" s="2"/>
      <c r="G45" s="2"/>
      <c r="H45" s="2"/>
    </row>
    <row r="46" ht="15.75" customHeight="1">
      <c r="A46" s="2"/>
      <c r="B46" s="2"/>
      <c r="C46" s="2"/>
      <c r="D46" s="2"/>
      <c r="E46" s="2"/>
      <c r="F46" s="2"/>
      <c r="G46" s="2"/>
      <c r="H46" s="2"/>
    </row>
    <row r="47" ht="15.75" customHeight="1">
      <c r="A47" s="2"/>
      <c r="B47" s="2"/>
      <c r="C47" s="2"/>
      <c r="D47" s="2"/>
      <c r="E47" s="2"/>
      <c r="F47" s="2"/>
      <c r="G47" s="2"/>
      <c r="H47" s="2"/>
    </row>
    <row r="48" ht="15.75" customHeight="1">
      <c r="A48" s="2"/>
      <c r="B48" s="2"/>
      <c r="C48" s="2"/>
      <c r="D48" s="2"/>
      <c r="E48" s="2"/>
      <c r="F48" s="2"/>
      <c r="G48" s="2"/>
      <c r="H48" s="2"/>
    </row>
    <row r="49" ht="15.75" customHeight="1">
      <c r="A49" s="2"/>
      <c r="B49" s="2"/>
      <c r="C49" s="2"/>
      <c r="D49" s="2"/>
      <c r="E49" s="2"/>
      <c r="F49" s="2"/>
      <c r="G49" s="2"/>
      <c r="H49" s="2"/>
    </row>
    <row r="50" ht="15.75" customHeight="1">
      <c r="A50" s="2"/>
      <c r="B50" s="2"/>
      <c r="C50" s="2"/>
      <c r="D50" s="2"/>
      <c r="E50" s="2"/>
      <c r="F50" s="2"/>
      <c r="G50" s="2"/>
      <c r="H50" s="2"/>
    </row>
    <row r="51" ht="15.75" customHeight="1">
      <c r="A51" s="2"/>
      <c r="B51" s="2"/>
      <c r="C51" s="2"/>
      <c r="D51" s="2"/>
      <c r="E51" s="2"/>
      <c r="F51" s="2"/>
      <c r="G51" s="2"/>
      <c r="H51" s="2"/>
    </row>
    <row r="52" ht="15.75" customHeight="1">
      <c r="A52" s="2"/>
      <c r="B52" s="2"/>
      <c r="C52" s="2"/>
      <c r="D52" s="2"/>
      <c r="E52" s="2"/>
      <c r="F52" s="2"/>
      <c r="G52" s="2"/>
      <c r="H52" s="2"/>
    </row>
    <row r="53" ht="15.75" customHeight="1">
      <c r="A53" s="2"/>
      <c r="B53" s="2"/>
      <c r="C53" s="2"/>
      <c r="D53" s="2"/>
      <c r="E53" s="2"/>
      <c r="F53" s="2"/>
      <c r="G53" s="2"/>
      <c r="H53" s="2"/>
    </row>
    <row r="54" ht="15.75" customHeight="1">
      <c r="A54" s="2"/>
      <c r="B54" s="2"/>
      <c r="C54" s="2"/>
      <c r="D54" s="2"/>
      <c r="E54" s="2"/>
      <c r="F54" s="2"/>
      <c r="G54" s="2"/>
      <c r="H54" s="2"/>
    </row>
    <row r="55" ht="15.75" customHeight="1">
      <c r="A55" s="2"/>
      <c r="B55" s="2"/>
      <c r="C55" s="2"/>
      <c r="D55" s="2"/>
      <c r="E55" s="2"/>
      <c r="F55" s="2"/>
      <c r="G55" s="2"/>
      <c r="H55" s="2"/>
    </row>
    <row r="56" ht="15.75" customHeight="1">
      <c r="A56" s="2"/>
      <c r="B56" s="2"/>
      <c r="C56" s="2"/>
      <c r="D56" s="2"/>
      <c r="E56" s="2"/>
      <c r="F56" s="2"/>
      <c r="G56" s="2"/>
      <c r="H56" s="2"/>
    </row>
    <row r="57" ht="15.75" customHeight="1">
      <c r="A57" s="2"/>
      <c r="B57" s="2"/>
      <c r="C57" s="2"/>
      <c r="D57" s="2"/>
      <c r="E57" s="2"/>
      <c r="F57" s="2"/>
      <c r="G57" s="2"/>
      <c r="H57" s="2"/>
    </row>
    <row r="58" ht="15.75" customHeight="1">
      <c r="A58" s="2"/>
      <c r="B58" s="2"/>
      <c r="C58" s="2"/>
      <c r="D58" s="2"/>
      <c r="E58" s="2"/>
      <c r="F58" s="2"/>
      <c r="G58" s="2"/>
      <c r="H58" s="2"/>
    </row>
    <row r="59" ht="15.75" customHeight="1">
      <c r="A59" s="2"/>
      <c r="B59" s="2"/>
      <c r="C59" s="2"/>
      <c r="D59" s="2"/>
      <c r="E59" s="2"/>
      <c r="F59" s="2"/>
      <c r="G59" s="2"/>
      <c r="H59" s="2"/>
    </row>
    <row r="60" ht="15.75" customHeight="1">
      <c r="A60" s="2"/>
      <c r="B60" s="2"/>
      <c r="C60" s="2"/>
      <c r="D60" s="2"/>
      <c r="E60" s="2"/>
      <c r="F60" s="2"/>
      <c r="G60" s="2"/>
      <c r="H60" s="2"/>
    </row>
    <row r="61" ht="15.75" customHeight="1">
      <c r="A61" s="2"/>
      <c r="B61" s="2"/>
      <c r="C61" s="2"/>
      <c r="D61" s="2"/>
      <c r="E61" s="2"/>
      <c r="F61" s="2"/>
      <c r="G61" s="2"/>
      <c r="H61" s="2"/>
    </row>
    <row r="62" ht="15.75" customHeight="1">
      <c r="A62" s="2"/>
      <c r="B62" s="2"/>
      <c r="C62" s="2"/>
      <c r="D62" s="2"/>
      <c r="E62" s="2"/>
      <c r="F62" s="2"/>
      <c r="G62" s="2"/>
      <c r="H62" s="2"/>
    </row>
    <row r="63" ht="15.75" customHeight="1">
      <c r="A63" s="2"/>
      <c r="B63" s="2"/>
      <c r="C63" s="2"/>
      <c r="D63" s="2"/>
      <c r="E63" s="2"/>
      <c r="F63" s="2"/>
      <c r="G63" s="2"/>
      <c r="H63" s="2"/>
    </row>
    <row r="64" ht="15.75" customHeight="1">
      <c r="A64" s="2"/>
      <c r="B64" s="2"/>
      <c r="C64" s="2"/>
      <c r="D64" s="2"/>
      <c r="E64" s="2"/>
      <c r="F64" s="2"/>
      <c r="G64" s="2"/>
      <c r="H64" s="2"/>
    </row>
    <row r="65" ht="15.75" customHeight="1">
      <c r="A65" s="2"/>
      <c r="B65" s="2"/>
      <c r="C65" s="2"/>
      <c r="D65" s="2"/>
      <c r="E65" s="2"/>
      <c r="F65" s="2"/>
      <c r="G65" s="2"/>
      <c r="H65" s="2"/>
    </row>
    <row r="66" ht="15.75" customHeight="1">
      <c r="A66" s="2"/>
      <c r="B66" s="2"/>
      <c r="C66" s="2"/>
      <c r="D66" s="2"/>
      <c r="E66" s="2"/>
      <c r="F66" s="2"/>
      <c r="G66" s="2"/>
      <c r="H66" s="2"/>
    </row>
    <row r="67" ht="15.75" customHeight="1">
      <c r="A67" s="2"/>
      <c r="B67" s="2"/>
      <c r="C67" s="2"/>
      <c r="D67" s="2"/>
      <c r="E67" s="2"/>
      <c r="F67" s="2"/>
      <c r="G67" s="2"/>
      <c r="H67" s="2"/>
    </row>
    <row r="68" ht="15.75" customHeight="1">
      <c r="A68" s="2"/>
      <c r="B68" s="2"/>
      <c r="C68" s="2"/>
      <c r="D68" s="2"/>
      <c r="E68" s="2"/>
      <c r="F68" s="2"/>
      <c r="G68" s="2"/>
      <c r="H68" s="2"/>
    </row>
    <row r="69" ht="15.75" customHeight="1">
      <c r="A69" s="2"/>
      <c r="B69" s="2"/>
      <c r="C69" s="2"/>
      <c r="D69" s="2"/>
      <c r="E69" s="2"/>
      <c r="F69" s="2"/>
      <c r="G69" s="2"/>
      <c r="H69" s="2"/>
    </row>
    <row r="70" ht="15.75" customHeight="1">
      <c r="A70" s="2"/>
      <c r="B70" s="2"/>
      <c r="C70" s="2"/>
      <c r="D70" s="2"/>
      <c r="E70" s="2"/>
      <c r="F70" s="2"/>
      <c r="G70" s="2"/>
      <c r="H70" s="2"/>
    </row>
    <row r="71" ht="15.75" customHeight="1">
      <c r="A71" s="2"/>
      <c r="B71" s="2"/>
      <c r="C71" s="2"/>
      <c r="D71" s="2"/>
      <c r="E71" s="2"/>
      <c r="F71" s="2"/>
      <c r="G71" s="2"/>
      <c r="H71" s="2"/>
    </row>
    <row r="72" ht="15.75" customHeight="1">
      <c r="A72" s="2"/>
      <c r="B72" s="2"/>
      <c r="C72" s="2"/>
      <c r="D72" s="2"/>
      <c r="E72" s="2"/>
      <c r="F72" s="2"/>
      <c r="G72" s="2"/>
      <c r="H72" s="2"/>
    </row>
    <row r="73" ht="15.75" customHeight="1">
      <c r="A73" s="2"/>
      <c r="B73" s="2"/>
      <c r="C73" s="2"/>
      <c r="D73" s="2"/>
      <c r="E73" s="2"/>
      <c r="F73" s="2"/>
      <c r="G73" s="2"/>
      <c r="H73" s="2"/>
    </row>
    <row r="74" ht="15.75" customHeight="1">
      <c r="A74" s="2"/>
      <c r="B74" s="2"/>
      <c r="C74" s="2"/>
      <c r="D74" s="2"/>
      <c r="E74" s="2"/>
      <c r="F74" s="2"/>
      <c r="G74" s="2"/>
      <c r="H74" s="2"/>
    </row>
    <row r="75" ht="15.75" customHeight="1">
      <c r="A75" s="2"/>
      <c r="B75" s="2"/>
      <c r="C75" s="2"/>
      <c r="D75" s="2"/>
      <c r="E75" s="2"/>
      <c r="F75" s="2"/>
      <c r="G75" s="2"/>
      <c r="H75" s="2"/>
    </row>
    <row r="76" ht="15.75" customHeight="1">
      <c r="A76" s="2"/>
      <c r="B76" s="2"/>
      <c r="C76" s="2"/>
      <c r="D76" s="2"/>
      <c r="E76" s="2"/>
      <c r="F76" s="2"/>
      <c r="G76" s="2"/>
      <c r="H76" s="2"/>
    </row>
    <row r="77" ht="15.75" customHeight="1">
      <c r="A77" s="2"/>
      <c r="B77" s="2"/>
      <c r="C77" s="2"/>
      <c r="D77" s="2"/>
      <c r="E77" s="2"/>
      <c r="F77" s="2"/>
      <c r="G77" s="2"/>
      <c r="H77" s="2"/>
    </row>
    <row r="78" ht="15.75" customHeight="1">
      <c r="A78" s="2"/>
      <c r="B78" s="2"/>
      <c r="C78" s="2"/>
      <c r="D78" s="2"/>
      <c r="E78" s="2"/>
      <c r="F78" s="2"/>
      <c r="G78" s="2"/>
      <c r="H78" s="2"/>
    </row>
    <row r="79" ht="15.75" customHeight="1">
      <c r="A79" s="2"/>
      <c r="B79" s="2"/>
      <c r="C79" s="2"/>
      <c r="D79" s="2"/>
      <c r="E79" s="2"/>
      <c r="F79" s="2"/>
      <c r="G79" s="2"/>
      <c r="H79" s="2"/>
    </row>
    <row r="80" ht="15.75" customHeight="1">
      <c r="A80" s="2"/>
      <c r="B80" s="2"/>
      <c r="C80" s="2"/>
      <c r="D80" s="2"/>
      <c r="E80" s="2"/>
      <c r="F80" s="2"/>
      <c r="G80" s="2"/>
      <c r="H80" s="2"/>
    </row>
    <row r="81" ht="15.75" customHeight="1">
      <c r="A81" s="2"/>
      <c r="B81" s="2"/>
      <c r="C81" s="2"/>
      <c r="D81" s="2"/>
      <c r="E81" s="2"/>
      <c r="F81" s="2"/>
      <c r="G81" s="2"/>
      <c r="H81" s="2"/>
    </row>
    <row r="82" ht="15.75" customHeight="1">
      <c r="A82" s="2"/>
      <c r="B82" s="2"/>
      <c r="C82" s="2"/>
      <c r="D82" s="2"/>
      <c r="E82" s="2"/>
      <c r="F82" s="2"/>
      <c r="G82" s="2"/>
      <c r="H82" s="2"/>
    </row>
    <row r="83" ht="15.75" customHeight="1">
      <c r="A83" s="2"/>
      <c r="B83" s="2"/>
      <c r="C83" s="2"/>
      <c r="D83" s="2"/>
      <c r="E83" s="2"/>
      <c r="F83" s="2"/>
      <c r="G83" s="2"/>
      <c r="H83" s="2"/>
    </row>
    <row r="84" ht="15.75" customHeight="1">
      <c r="A84" s="2"/>
      <c r="B84" s="2"/>
      <c r="C84" s="2"/>
      <c r="D84" s="2"/>
      <c r="E84" s="2"/>
      <c r="F84" s="2"/>
      <c r="G84" s="2"/>
      <c r="H84" s="2"/>
    </row>
    <row r="85" ht="15.75" customHeight="1">
      <c r="A85" s="2"/>
      <c r="B85" s="2"/>
      <c r="C85" s="2"/>
      <c r="D85" s="2"/>
      <c r="E85" s="2"/>
      <c r="F85" s="2"/>
      <c r="G85" s="2"/>
      <c r="H85" s="2"/>
    </row>
    <row r="86" ht="15.75" customHeight="1">
      <c r="A86" s="2"/>
      <c r="B86" s="2"/>
      <c r="C86" s="2"/>
      <c r="D86" s="2"/>
      <c r="E86" s="2"/>
      <c r="F86" s="2"/>
      <c r="G86" s="2"/>
      <c r="H86" s="2"/>
    </row>
    <row r="87" ht="15.75" customHeight="1">
      <c r="A87" s="2"/>
      <c r="B87" s="2"/>
      <c r="C87" s="2"/>
      <c r="D87" s="2"/>
      <c r="E87" s="2"/>
      <c r="F87" s="2"/>
      <c r="G87" s="2"/>
      <c r="H87" s="2"/>
    </row>
    <row r="88" ht="15.75" customHeight="1">
      <c r="A88" s="2"/>
      <c r="B88" s="2"/>
      <c r="C88" s="2"/>
      <c r="D88" s="2"/>
      <c r="E88" s="2"/>
      <c r="F88" s="2"/>
      <c r="G88" s="2"/>
      <c r="H88" s="2"/>
    </row>
    <row r="89" ht="15.75" customHeight="1">
      <c r="A89" s="2"/>
      <c r="B89" s="2"/>
      <c r="C89" s="2"/>
      <c r="D89" s="2"/>
      <c r="E89" s="2"/>
      <c r="F89" s="2"/>
      <c r="G89" s="2"/>
      <c r="H89" s="2"/>
    </row>
    <row r="90" ht="15.75" customHeight="1">
      <c r="A90" s="2"/>
      <c r="B90" s="2"/>
      <c r="C90" s="2"/>
      <c r="D90" s="2"/>
      <c r="E90" s="2"/>
      <c r="F90" s="2"/>
      <c r="G90" s="2"/>
      <c r="H90" s="2"/>
    </row>
    <row r="91" ht="15.75" customHeight="1">
      <c r="A91" s="2"/>
      <c r="B91" s="2"/>
      <c r="C91" s="2"/>
      <c r="D91" s="2"/>
      <c r="E91" s="2"/>
      <c r="F91" s="2"/>
      <c r="G91" s="2"/>
      <c r="H91" s="2"/>
    </row>
    <row r="92" ht="15.75" customHeight="1">
      <c r="A92" s="2"/>
      <c r="B92" s="2"/>
      <c r="C92" s="2"/>
      <c r="D92" s="2"/>
      <c r="E92" s="2"/>
      <c r="F92" s="2"/>
      <c r="G92" s="2"/>
      <c r="H92" s="2"/>
    </row>
    <row r="93" ht="15.75" customHeight="1">
      <c r="A93" s="2"/>
      <c r="B93" s="2"/>
      <c r="C93" s="2"/>
      <c r="D93" s="2"/>
      <c r="E93" s="2"/>
      <c r="F93" s="2"/>
      <c r="G93" s="2"/>
      <c r="H93" s="2"/>
    </row>
    <row r="94" ht="15.75" customHeight="1">
      <c r="A94" s="2"/>
      <c r="B94" s="2"/>
      <c r="C94" s="2"/>
      <c r="D94" s="2"/>
      <c r="E94" s="2"/>
      <c r="F94" s="2"/>
      <c r="G94" s="2"/>
      <c r="H94" s="2"/>
    </row>
    <row r="95" ht="15.75" customHeight="1">
      <c r="A95" s="2"/>
      <c r="B95" s="2"/>
      <c r="C95" s="2"/>
      <c r="D95" s="2"/>
      <c r="E95" s="2"/>
      <c r="F95" s="2"/>
      <c r="G95" s="2"/>
      <c r="H95" s="2"/>
    </row>
    <row r="96" ht="15.75" customHeight="1">
      <c r="A96" s="2"/>
      <c r="B96" s="2"/>
      <c r="C96" s="2"/>
      <c r="D96" s="2"/>
      <c r="E96" s="2"/>
      <c r="F96" s="2"/>
      <c r="G96" s="2"/>
      <c r="H96" s="2"/>
    </row>
    <row r="97" ht="15.75" customHeight="1">
      <c r="A97" s="2"/>
      <c r="B97" s="2"/>
      <c r="C97" s="2"/>
      <c r="D97" s="2"/>
      <c r="E97" s="2"/>
      <c r="F97" s="2"/>
      <c r="G97" s="2"/>
      <c r="H97" s="2"/>
    </row>
    <row r="98" ht="15.75" customHeight="1">
      <c r="A98" s="2"/>
      <c r="B98" s="2"/>
      <c r="C98" s="2"/>
      <c r="D98" s="2"/>
      <c r="E98" s="2"/>
      <c r="F98" s="2"/>
      <c r="G98" s="2"/>
      <c r="H98" s="2"/>
    </row>
    <row r="99" ht="15.75" customHeight="1">
      <c r="A99" s="2"/>
      <c r="B99" s="2"/>
      <c r="C99" s="2"/>
      <c r="D99" s="2"/>
      <c r="E99" s="2"/>
      <c r="F99" s="2"/>
      <c r="G99" s="2"/>
      <c r="H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</row>
  </sheetData>
  <printOptions/>
  <pageMargins bottom="1.0" footer="0.0" header="0.0" left="0.75" right="0.75" top="1.0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4.0"/>
    <col customWidth="1" min="3" max="3" width="22.0"/>
    <col customWidth="1" min="4" max="4" width="30.0"/>
    <col customWidth="1" min="5" max="5" width="18.0"/>
    <col customWidth="1" min="6" max="6" width="13.0"/>
    <col customWidth="1" min="7" max="7" width="20.0"/>
    <col customWidth="1" min="8" max="8" width="24.0"/>
  </cols>
  <sheetData>
    <row r="1">
      <c r="A1" s="18" t="s">
        <v>492</v>
      </c>
      <c r="B1" s="2"/>
      <c r="C1" s="2"/>
      <c r="D1" s="2"/>
      <c r="E1" s="2"/>
      <c r="F1" s="2"/>
      <c r="G1" s="2"/>
      <c r="H1" s="2"/>
    </row>
    <row r="2">
      <c r="A2" s="19" t="s">
        <v>493</v>
      </c>
      <c r="B2" s="2"/>
      <c r="C2" s="2"/>
      <c r="D2" s="2"/>
      <c r="E2" s="2"/>
      <c r="F2" s="2"/>
      <c r="G2" s="2"/>
      <c r="H2" s="2"/>
    </row>
    <row r="3">
      <c r="A3" s="2"/>
      <c r="B3" s="2"/>
      <c r="C3" s="2"/>
      <c r="D3" s="2"/>
      <c r="E3" s="2"/>
      <c r="F3" s="2"/>
      <c r="G3" s="2"/>
      <c r="H3" s="2"/>
    </row>
    <row r="4">
      <c r="A4" s="20" t="s">
        <v>81</v>
      </c>
      <c r="B4" s="20" t="s">
        <v>82</v>
      </c>
      <c r="C4" s="20" t="s">
        <v>83</v>
      </c>
      <c r="D4" s="20" t="s">
        <v>84</v>
      </c>
      <c r="E4" s="20" t="s">
        <v>85</v>
      </c>
      <c r="F4" s="20" t="s">
        <v>86</v>
      </c>
      <c r="G4" s="20" t="s">
        <v>87</v>
      </c>
      <c r="H4" s="20" t="s">
        <v>9</v>
      </c>
    </row>
    <row r="5">
      <c r="A5" s="5">
        <v>1.0</v>
      </c>
      <c r="B5" s="5" t="s">
        <v>70</v>
      </c>
      <c r="C5" s="5">
        <v>60.0</v>
      </c>
      <c r="D5" s="6" t="s">
        <v>494</v>
      </c>
      <c r="E5" s="5" t="str">
        <f>C5</f>
        <v>60</v>
      </c>
      <c r="F5" s="5" t="str">
        <f t="shared" ref="F5:F7" si="1">660-E5</f>
        <v>600</v>
      </c>
      <c r="G5" s="8" t="str">
        <f t="shared" ref="G5:G7" si="2">E5/660</f>
        <v>9.1%</v>
      </c>
      <c r="H5" s="5" t="str">
        <f t="shared" ref="H5:H7" si="3">IF(G5&gt;=1, "100.0% (Package Over)", TEXT(MIN(G5*100, 99.9), "0.0") &amp; "%")</f>
        <v>9.1%</v>
      </c>
    </row>
    <row r="6">
      <c r="A6" s="5">
        <v>2.0</v>
      </c>
      <c r="B6" s="5" t="s">
        <v>75</v>
      </c>
      <c r="C6" s="5">
        <v>90.0</v>
      </c>
      <c r="D6" s="6" t="s">
        <v>494</v>
      </c>
      <c r="E6" s="5" t="str">
        <f t="shared" ref="E6:E7" si="4">E5+C6</f>
        <v>150</v>
      </c>
      <c r="F6" s="5" t="str">
        <f t="shared" si="1"/>
        <v>510</v>
      </c>
      <c r="G6" s="8" t="str">
        <f t="shared" si="2"/>
        <v>22.7%</v>
      </c>
      <c r="H6" s="5" t="str">
        <f t="shared" si="3"/>
        <v>22.7%</v>
      </c>
    </row>
    <row r="7">
      <c r="A7" s="5">
        <v>3.0</v>
      </c>
      <c r="B7" s="5" t="s">
        <v>315</v>
      </c>
      <c r="C7" s="5">
        <v>90.0</v>
      </c>
      <c r="D7" s="6" t="s">
        <v>495</v>
      </c>
      <c r="E7" s="5" t="str">
        <f t="shared" si="4"/>
        <v>240</v>
      </c>
      <c r="F7" s="5" t="str">
        <f t="shared" si="1"/>
        <v>420</v>
      </c>
      <c r="G7" s="8" t="str">
        <f t="shared" si="2"/>
        <v>36.4%</v>
      </c>
      <c r="H7" s="5" t="str">
        <f t="shared" si="3"/>
        <v>36.4%</v>
      </c>
    </row>
    <row r="8">
      <c r="A8" s="2"/>
      <c r="B8" s="2"/>
      <c r="C8" s="2"/>
      <c r="D8" s="2"/>
      <c r="E8" s="2"/>
      <c r="F8" s="2"/>
      <c r="G8" s="2"/>
      <c r="H8" s="2"/>
    </row>
    <row r="9">
      <c r="A9" s="2"/>
      <c r="B9" s="2"/>
      <c r="C9" s="2"/>
      <c r="D9" s="2"/>
      <c r="E9" s="2"/>
      <c r="F9" s="2"/>
      <c r="G9" s="2"/>
      <c r="H9" s="2"/>
    </row>
    <row r="10">
      <c r="A10" s="2"/>
      <c r="B10" s="2"/>
      <c r="C10" s="2"/>
      <c r="D10" s="2"/>
      <c r="E10" s="2"/>
      <c r="F10" s="2"/>
      <c r="G10" s="2"/>
      <c r="H10" s="2"/>
    </row>
    <row r="11">
      <c r="A11" s="2"/>
      <c r="B11" s="2"/>
      <c r="C11" s="2"/>
      <c r="D11" s="2"/>
      <c r="E11" s="2"/>
      <c r="F11" s="2"/>
      <c r="G11" s="2"/>
      <c r="H11" s="2"/>
    </row>
    <row r="12">
      <c r="A12" s="2"/>
      <c r="B12" s="2"/>
      <c r="C12" s="2"/>
      <c r="D12" s="2"/>
      <c r="E12" s="2"/>
      <c r="F12" s="2"/>
      <c r="G12" s="2"/>
      <c r="H12" s="2"/>
    </row>
    <row r="13">
      <c r="A13" s="2"/>
      <c r="B13" s="2"/>
      <c r="C13" s="2"/>
      <c r="D13" s="2"/>
      <c r="E13" s="2"/>
      <c r="F13" s="2"/>
      <c r="G13" s="2"/>
      <c r="H13" s="2"/>
    </row>
    <row r="14">
      <c r="A14" s="2"/>
      <c r="B14" s="2"/>
      <c r="C14" s="2"/>
      <c r="D14" s="2"/>
      <c r="E14" s="2"/>
      <c r="F14" s="2"/>
      <c r="G14" s="2"/>
      <c r="H14" s="2"/>
    </row>
    <row r="15">
      <c r="A15" s="2"/>
      <c r="B15" s="2"/>
      <c r="C15" s="2"/>
      <c r="D15" s="2"/>
      <c r="E15" s="2"/>
      <c r="F15" s="2"/>
      <c r="G15" s="2"/>
      <c r="H15" s="2"/>
    </row>
    <row r="16">
      <c r="A16" s="2"/>
      <c r="B16" s="2"/>
      <c r="C16" s="2"/>
      <c r="D16" s="2"/>
      <c r="E16" s="2"/>
      <c r="F16" s="2"/>
      <c r="G16" s="2"/>
      <c r="H16" s="2"/>
    </row>
    <row r="17">
      <c r="A17" s="2"/>
      <c r="B17" s="2"/>
      <c r="C17" s="2"/>
      <c r="D17" s="2"/>
      <c r="E17" s="2"/>
      <c r="F17" s="2"/>
      <c r="G17" s="2"/>
      <c r="H17" s="2"/>
    </row>
    <row r="18">
      <c r="A18" s="2"/>
      <c r="B18" s="2"/>
      <c r="C18" s="2"/>
      <c r="D18" s="2"/>
      <c r="E18" s="2"/>
      <c r="F18" s="2"/>
      <c r="G18" s="2"/>
      <c r="H18" s="2"/>
    </row>
    <row r="19">
      <c r="A19" s="2"/>
      <c r="B19" s="2"/>
      <c r="C19" s="2"/>
      <c r="D19" s="2"/>
      <c r="E19" s="2"/>
      <c r="F19" s="2"/>
      <c r="G19" s="2"/>
      <c r="H19" s="2"/>
    </row>
    <row r="20">
      <c r="A20" s="2"/>
      <c r="B20" s="2"/>
      <c r="C20" s="2"/>
      <c r="D20" s="2"/>
      <c r="E20" s="2"/>
      <c r="F20" s="2"/>
      <c r="G20" s="2"/>
      <c r="H20" s="2"/>
    </row>
    <row r="21" ht="15.75" customHeight="1">
      <c r="A21" s="2"/>
      <c r="B21" s="2"/>
      <c r="C21" s="2"/>
      <c r="D21" s="2"/>
      <c r="E21" s="2"/>
      <c r="F21" s="2"/>
      <c r="G21" s="2"/>
      <c r="H21" s="2"/>
    </row>
    <row r="22" ht="15.75" customHeight="1">
      <c r="A22" s="2"/>
      <c r="B22" s="2"/>
      <c r="C22" s="2"/>
      <c r="D22" s="2"/>
      <c r="E22" s="2"/>
      <c r="F22" s="2"/>
      <c r="G22" s="2"/>
      <c r="H22" s="2"/>
    </row>
    <row r="23" ht="15.75" customHeight="1">
      <c r="A23" s="2"/>
      <c r="B23" s="2"/>
      <c r="C23" s="2"/>
      <c r="D23" s="2"/>
      <c r="E23" s="2"/>
      <c r="F23" s="2"/>
      <c r="G23" s="2"/>
      <c r="H23" s="2"/>
    </row>
    <row r="24" ht="15.75" customHeight="1">
      <c r="A24" s="2"/>
      <c r="B24" s="2"/>
      <c r="C24" s="2"/>
      <c r="D24" s="2"/>
      <c r="E24" s="2"/>
      <c r="F24" s="2"/>
      <c r="G24" s="2"/>
      <c r="H24" s="2"/>
    </row>
    <row r="25" ht="15.75" customHeight="1">
      <c r="A25" s="2"/>
      <c r="B25" s="2"/>
      <c r="C25" s="2"/>
      <c r="D25" s="2"/>
      <c r="E25" s="2"/>
      <c r="F25" s="2"/>
      <c r="G25" s="2"/>
      <c r="H25" s="2"/>
    </row>
    <row r="26" ht="15.75" customHeight="1">
      <c r="A26" s="2"/>
      <c r="B26" s="2"/>
      <c r="C26" s="2"/>
      <c r="D26" s="2"/>
      <c r="E26" s="2"/>
      <c r="F26" s="2"/>
      <c r="G26" s="2"/>
      <c r="H26" s="2"/>
    </row>
    <row r="27" ht="15.75" customHeight="1">
      <c r="A27" s="2"/>
      <c r="B27" s="2"/>
      <c r="C27" s="2"/>
      <c r="D27" s="2"/>
      <c r="E27" s="2"/>
      <c r="F27" s="2"/>
      <c r="G27" s="2"/>
      <c r="H27" s="2"/>
    </row>
    <row r="28" ht="15.75" customHeight="1">
      <c r="A28" s="2"/>
      <c r="B28" s="2"/>
      <c r="C28" s="2"/>
      <c r="D28" s="2"/>
      <c r="E28" s="2"/>
      <c r="F28" s="2"/>
      <c r="G28" s="2"/>
      <c r="H28" s="2"/>
    </row>
    <row r="29" ht="15.75" customHeight="1">
      <c r="A29" s="2"/>
      <c r="B29" s="2"/>
      <c r="C29" s="2"/>
      <c r="D29" s="2"/>
      <c r="E29" s="2"/>
      <c r="F29" s="2"/>
      <c r="G29" s="2"/>
      <c r="H29" s="2"/>
    </row>
    <row r="30" ht="15.75" customHeight="1">
      <c r="A30" s="2"/>
      <c r="B30" s="2"/>
      <c r="C30" s="2"/>
      <c r="D30" s="2"/>
      <c r="E30" s="2"/>
      <c r="F30" s="2"/>
      <c r="G30" s="2"/>
      <c r="H30" s="2"/>
    </row>
    <row r="31" ht="15.75" customHeight="1">
      <c r="A31" s="2"/>
      <c r="B31" s="2"/>
      <c r="C31" s="2"/>
      <c r="D31" s="2"/>
      <c r="E31" s="2"/>
      <c r="F31" s="2"/>
      <c r="G31" s="2"/>
      <c r="H31" s="2"/>
    </row>
    <row r="32" ht="15.75" customHeight="1">
      <c r="A32" s="2"/>
      <c r="B32" s="2"/>
      <c r="C32" s="2"/>
      <c r="D32" s="2"/>
      <c r="E32" s="2"/>
      <c r="F32" s="2"/>
      <c r="G32" s="2"/>
      <c r="H32" s="2"/>
    </row>
    <row r="33" ht="15.75" customHeight="1">
      <c r="A33" s="2"/>
      <c r="B33" s="2"/>
      <c r="C33" s="2"/>
      <c r="D33" s="2"/>
      <c r="E33" s="2"/>
      <c r="F33" s="2"/>
      <c r="G33" s="2"/>
      <c r="H33" s="2"/>
    </row>
    <row r="34" ht="15.75" customHeight="1">
      <c r="A34" s="2"/>
      <c r="B34" s="2"/>
      <c r="C34" s="2"/>
      <c r="D34" s="2"/>
      <c r="E34" s="2"/>
      <c r="F34" s="2"/>
      <c r="G34" s="2"/>
      <c r="H34" s="2"/>
    </row>
    <row r="35" ht="15.75" customHeight="1">
      <c r="A35" s="2"/>
      <c r="B35" s="2"/>
      <c r="C35" s="2"/>
      <c r="D35" s="2"/>
      <c r="E35" s="2"/>
      <c r="F35" s="2"/>
      <c r="G35" s="2"/>
      <c r="H35" s="2"/>
    </row>
    <row r="36" ht="15.75" customHeight="1">
      <c r="A36" s="2"/>
      <c r="B36" s="2"/>
      <c r="C36" s="2"/>
      <c r="D36" s="2"/>
      <c r="E36" s="2"/>
      <c r="F36" s="2"/>
      <c r="G36" s="2"/>
      <c r="H36" s="2"/>
    </row>
    <row r="37" ht="15.75" customHeight="1">
      <c r="A37" s="2"/>
      <c r="B37" s="2"/>
      <c r="C37" s="2"/>
      <c r="D37" s="2"/>
      <c r="E37" s="2"/>
      <c r="F37" s="2"/>
      <c r="G37" s="2"/>
      <c r="H37" s="2"/>
    </row>
    <row r="38" ht="15.75" customHeight="1">
      <c r="A38" s="2"/>
      <c r="B38" s="2"/>
      <c r="C38" s="2"/>
      <c r="D38" s="2"/>
      <c r="E38" s="2"/>
      <c r="F38" s="2"/>
      <c r="G38" s="2"/>
      <c r="H38" s="2"/>
    </row>
    <row r="39" ht="15.75" customHeight="1">
      <c r="A39" s="2"/>
      <c r="B39" s="2"/>
      <c r="C39" s="2"/>
      <c r="D39" s="2"/>
      <c r="E39" s="2"/>
      <c r="F39" s="2"/>
      <c r="G39" s="2"/>
      <c r="H39" s="2"/>
    </row>
    <row r="40" ht="15.75" customHeight="1">
      <c r="A40" s="2"/>
      <c r="B40" s="2"/>
      <c r="C40" s="2"/>
      <c r="D40" s="2"/>
      <c r="E40" s="2"/>
      <c r="F40" s="2"/>
      <c r="G40" s="2"/>
      <c r="H40" s="2"/>
    </row>
    <row r="41" ht="15.75" customHeight="1">
      <c r="A41" s="2"/>
      <c r="B41" s="2"/>
      <c r="C41" s="2"/>
      <c r="D41" s="2"/>
      <c r="E41" s="2"/>
      <c r="F41" s="2"/>
      <c r="G41" s="2"/>
      <c r="H41" s="2"/>
    </row>
    <row r="42" ht="15.75" customHeight="1">
      <c r="A42" s="2"/>
      <c r="B42" s="2"/>
      <c r="C42" s="2"/>
      <c r="D42" s="2"/>
      <c r="E42" s="2"/>
      <c r="F42" s="2"/>
      <c r="G42" s="2"/>
      <c r="H42" s="2"/>
    </row>
    <row r="43" ht="15.75" customHeight="1">
      <c r="A43" s="2"/>
      <c r="B43" s="2"/>
      <c r="C43" s="2"/>
      <c r="D43" s="2"/>
      <c r="E43" s="2"/>
      <c r="F43" s="2"/>
      <c r="G43" s="2"/>
      <c r="H43" s="2"/>
    </row>
    <row r="44" ht="15.75" customHeight="1">
      <c r="A44" s="2"/>
      <c r="B44" s="2"/>
      <c r="C44" s="2"/>
      <c r="D44" s="2"/>
      <c r="E44" s="2"/>
      <c r="F44" s="2"/>
      <c r="G44" s="2"/>
      <c r="H44" s="2"/>
    </row>
    <row r="45" ht="15.75" customHeight="1">
      <c r="A45" s="2"/>
      <c r="B45" s="2"/>
      <c r="C45" s="2"/>
      <c r="D45" s="2"/>
      <c r="E45" s="2"/>
      <c r="F45" s="2"/>
      <c r="G45" s="2"/>
      <c r="H45" s="2"/>
    </row>
    <row r="46" ht="15.75" customHeight="1">
      <c r="A46" s="2"/>
      <c r="B46" s="2"/>
      <c r="C46" s="2"/>
      <c r="D46" s="2"/>
      <c r="E46" s="2"/>
      <c r="F46" s="2"/>
      <c r="G46" s="2"/>
      <c r="H46" s="2"/>
    </row>
    <row r="47" ht="15.75" customHeight="1">
      <c r="A47" s="2"/>
      <c r="B47" s="2"/>
      <c r="C47" s="2"/>
      <c r="D47" s="2"/>
      <c r="E47" s="2"/>
      <c r="F47" s="2"/>
      <c r="G47" s="2"/>
      <c r="H47" s="2"/>
    </row>
    <row r="48" ht="15.75" customHeight="1">
      <c r="A48" s="2"/>
      <c r="B48" s="2"/>
      <c r="C48" s="2"/>
      <c r="D48" s="2"/>
      <c r="E48" s="2"/>
      <c r="F48" s="2"/>
      <c r="G48" s="2"/>
      <c r="H48" s="2"/>
    </row>
    <row r="49" ht="15.75" customHeight="1">
      <c r="A49" s="2"/>
      <c r="B49" s="2"/>
      <c r="C49" s="2"/>
      <c r="D49" s="2"/>
      <c r="E49" s="2"/>
      <c r="F49" s="2"/>
      <c r="G49" s="2"/>
      <c r="H49" s="2"/>
    </row>
    <row r="50" ht="15.75" customHeight="1">
      <c r="A50" s="2"/>
      <c r="B50" s="2"/>
      <c r="C50" s="2"/>
      <c r="D50" s="2"/>
      <c r="E50" s="2"/>
      <c r="F50" s="2"/>
      <c r="G50" s="2"/>
      <c r="H50" s="2"/>
    </row>
    <row r="51" ht="15.75" customHeight="1">
      <c r="A51" s="2"/>
      <c r="B51" s="2"/>
      <c r="C51" s="2"/>
      <c r="D51" s="2"/>
      <c r="E51" s="2"/>
      <c r="F51" s="2"/>
      <c r="G51" s="2"/>
      <c r="H51" s="2"/>
    </row>
    <row r="52" ht="15.75" customHeight="1">
      <c r="A52" s="2"/>
      <c r="B52" s="2"/>
      <c r="C52" s="2"/>
      <c r="D52" s="2"/>
      <c r="E52" s="2"/>
      <c r="F52" s="2"/>
      <c r="G52" s="2"/>
      <c r="H52" s="2"/>
    </row>
    <row r="53" ht="15.75" customHeight="1">
      <c r="A53" s="2"/>
      <c r="B53" s="2"/>
      <c r="C53" s="2"/>
      <c r="D53" s="2"/>
      <c r="E53" s="2"/>
      <c r="F53" s="2"/>
      <c r="G53" s="2"/>
      <c r="H53" s="2"/>
    </row>
    <row r="54" ht="15.75" customHeight="1">
      <c r="A54" s="2"/>
      <c r="B54" s="2"/>
      <c r="C54" s="2"/>
      <c r="D54" s="2"/>
      <c r="E54" s="2"/>
      <c r="F54" s="2"/>
      <c r="G54" s="2"/>
      <c r="H54" s="2"/>
    </row>
    <row r="55" ht="15.75" customHeight="1">
      <c r="A55" s="2"/>
      <c r="B55" s="2"/>
      <c r="C55" s="2"/>
      <c r="D55" s="2"/>
      <c r="E55" s="2"/>
      <c r="F55" s="2"/>
      <c r="G55" s="2"/>
      <c r="H55" s="2"/>
    </row>
    <row r="56" ht="15.75" customHeight="1">
      <c r="A56" s="2"/>
      <c r="B56" s="2"/>
      <c r="C56" s="2"/>
      <c r="D56" s="2"/>
      <c r="E56" s="2"/>
      <c r="F56" s="2"/>
      <c r="G56" s="2"/>
      <c r="H56" s="2"/>
    </row>
    <row r="57" ht="15.75" customHeight="1">
      <c r="A57" s="2"/>
      <c r="B57" s="2"/>
      <c r="C57" s="2"/>
      <c r="D57" s="2"/>
      <c r="E57" s="2"/>
      <c r="F57" s="2"/>
      <c r="G57" s="2"/>
      <c r="H57" s="2"/>
    </row>
    <row r="58" ht="15.75" customHeight="1">
      <c r="A58" s="2"/>
      <c r="B58" s="2"/>
      <c r="C58" s="2"/>
      <c r="D58" s="2"/>
      <c r="E58" s="2"/>
      <c r="F58" s="2"/>
      <c r="G58" s="2"/>
      <c r="H58" s="2"/>
    </row>
    <row r="59" ht="15.75" customHeight="1">
      <c r="A59" s="2"/>
      <c r="B59" s="2"/>
      <c r="C59" s="2"/>
      <c r="D59" s="2"/>
      <c r="E59" s="2"/>
      <c r="F59" s="2"/>
      <c r="G59" s="2"/>
      <c r="H59" s="2"/>
    </row>
    <row r="60" ht="15.75" customHeight="1">
      <c r="A60" s="2"/>
      <c r="B60" s="2"/>
      <c r="C60" s="2"/>
      <c r="D60" s="2"/>
      <c r="E60" s="2"/>
      <c r="F60" s="2"/>
      <c r="G60" s="2"/>
      <c r="H60" s="2"/>
    </row>
    <row r="61" ht="15.75" customHeight="1">
      <c r="A61" s="2"/>
      <c r="B61" s="2"/>
      <c r="C61" s="2"/>
      <c r="D61" s="2"/>
      <c r="E61" s="2"/>
      <c r="F61" s="2"/>
      <c r="G61" s="2"/>
      <c r="H61" s="2"/>
    </row>
    <row r="62" ht="15.75" customHeight="1">
      <c r="A62" s="2"/>
      <c r="B62" s="2"/>
      <c r="C62" s="2"/>
      <c r="D62" s="2"/>
      <c r="E62" s="2"/>
      <c r="F62" s="2"/>
      <c r="G62" s="2"/>
      <c r="H62" s="2"/>
    </row>
    <row r="63" ht="15.75" customHeight="1">
      <c r="A63" s="2"/>
      <c r="B63" s="2"/>
      <c r="C63" s="2"/>
      <c r="D63" s="2"/>
      <c r="E63" s="2"/>
      <c r="F63" s="2"/>
      <c r="G63" s="2"/>
      <c r="H63" s="2"/>
    </row>
    <row r="64" ht="15.75" customHeight="1">
      <c r="A64" s="2"/>
      <c r="B64" s="2"/>
      <c r="C64" s="2"/>
      <c r="D64" s="2"/>
      <c r="E64" s="2"/>
      <c r="F64" s="2"/>
      <c r="G64" s="2"/>
      <c r="H64" s="2"/>
    </row>
    <row r="65" ht="15.75" customHeight="1">
      <c r="A65" s="2"/>
      <c r="B65" s="2"/>
      <c r="C65" s="2"/>
      <c r="D65" s="2"/>
      <c r="E65" s="2"/>
      <c r="F65" s="2"/>
      <c r="G65" s="2"/>
      <c r="H65" s="2"/>
    </row>
    <row r="66" ht="15.75" customHeight="1">
      <c r="A66" s="2"/>
      <c r="B66" s="2"/>
      <c r="C66" s="2"/>
      <c r="D66" s="2"/>
      <c r="E66" s="2"/>
      <c r="F66" s="2"/>
      <c r="G66" s="2"/>
      <c r="H66" s="2"/>
    </row>
    <row r="67" ht="15.75" customHeight="1">
      <c r="A67" s="2"/>
      <c r="B67" s="2"/>
      <c r="C67" s="2"/>
      <c r="D67" s="2"/>
      <c r="E67" s="2"/>
      <c r="F67" s="2"/>
      <c r="G67" s="2"/>
      <c r="H67" s="2"/>
    </row>
    <row r="68" ht="15.75" customHeight="1">
      <c r="A68" s="2"/>
      <c r="B68" s="2"/>
      <c r="C68" s="2"/>
      <c r="D68" s="2"/>
      <c r="E68" s="2"/>
      <c r="F68" s="2"/>
      <c r="G68" s="2"/>
      <c r="H68" s="2"/>
    </row>
    <row r="69" ht="15.75" customHeight="1">
      <c r="A69" s="2"/>
      <c r="B69" s="2"/>
      <c r="C69" s="2"/>
      <c r="D69" s="2"/>
      <c r="E69" s="2"/>
      <c r="F69" s="2"/>
      <c r="G69" s="2"/>
      <c r="H69" s="2"/>
    </row>
    <row r="70" ht="15.75" customHeight="1">
      <c r="A70" s="2"/>
      <c r="B70" s="2"/>
      <c r="C70" s="2"/>
      <c r="D70" s="2"/>
      <c r="E70" s="2"/>
      <c r="F70" s="2"/>
      <c r="G70" s="2"/>
      <c r="H70" s="2"/>
    </row>
    <row r="71" ht="15.75" customHeight="1">
      <c r="A71" s="2"/>
      <c r="B71" s="2"/>
      <c r="C71" s="2"/>
      <c r="D71" s="2"/>
      <c r="E71" s="2"/>
      <c r="F71" s="2"/>
      <c r="G71" s="2"/>
      <c r="H71" s="2"/>
    </row>
    <row r="72" ht="15.75" customHeight="1">
      <c r="A72" s="2"/>
      <c r="B72" s="2"/>
      <c r="C72" s="2"/>
      <c r="D72" s="2"/>
      <c r="E72" s="2"/>
      <c r="F72" s="2"/>
      <c r="G72" s="2"/>
      <c r="H72" s="2"/>
    </row>
    <row r="73" ht="15.75" customHeight="1">
      <c r="A73" s="2"/>
      <c r="B73" s="2"/>
      <c r="C73" s="2"/>
      <c r="D73" s="2"/>
      <c r="E73" s="2"/>
      <c r="F73" s="2"/>
      <c r="G73" s="2"/>
      <c r="H73" s="2"/>
    </row>
    <row r="74" ht="15.75" customHeight="1">
      <c r="A74" s="2"/>
      <c r="B74" s="2"/>
      <c r="C74" s="2"/>
      <c r="D74" s="2"/>
      <c r="E74" s="2"/>
      <c r="F74" s="2"/>
      <c r="G74" s="2"/>
      <c r="H74" s="2"/>
    </row>
    <row r="75" ht="15.75" customHeight="1">
      <c r="A75" s="2"/>
      <c r="B75" s="2"/>
      <c r="C75" s="2"/>
      <c r="D75" s="2"/>
      <c r="E75" s="2"/>
      <c r="F75" s="2"/>
      <c r="G75" s="2"/>
      <c r="H75" s="2"/>
    </row>
    <row r="76" ht="15.75" customHeight="1">
      <c r="A76" s="2"/>
      <c r="B76" s="2"/>
      <c r="C76" s="2"/>
      <c r="D76" s="2"/>
      <c r="E76" s="2"/>
      <c r="F76" s="2"/>
      <c r="G76" s="2"/>
      <c r="H76" s="2"/>
    </row>
    <row r="77" ht="15.75" customHeight="1">
      <c r="A77" s="2"/>
      <c r="B77" s="2"/>
      <c r="C77" s="2"/>
      <c r="D77" s="2"/>
      <c r="E77" s="2"/>
      <c r="F77" s="2"/>
      <c r="G77" s="2"/>
      <c r="H77" s="2"/>
    </row>
    <row r="78" ht="15.75" customHeight="1">
      <c r="A78" s="2"/>
      <c r="B78" s="2"/>
      <c r="C78" s="2"/>
      <c r="D78" s="2"/>
      <c r="E78" s="2"/>
      <c r="F78" s="2"/>
      <c r="G78" s="2"/>
      <c r="H78" s="2"/>
    </row>
    <row r="79" ht="15.75" customHeight="1">
      <c r="A79" s="2"/>
      <c r="B79" s="2"/>
      <c r="C79" s="2"/>
      <c r="D79" s="2"/>
      <c r="E79" s="2"/>
      <c r="F79" s="2"/>
      <c r="G79" s="2"/>
      <c r="H79" s="2"/>
    </row>
    <row r="80" ht="15.75" customHeight="1">
      <c r="A80" s="2"/>
      <c r="B80" s="2"/>
      <c r="C80" s="2"/>
      <c r="D80" s="2"/>
      <c r="E80" s="2"/>
      <c r="F80" s="2"/>
      <c r="G80" s="2"/>
      <c r="H80" s="2"/>
    </row>
    <row r="81" ht="15.75" customHeight="1">
      <c r="A81" s="2"/>
      <c r="B81" s="2"/>
      <c r="C81" s="2"/>
      <c r="D81" s="2"/>
      <c r="E81" s="2"/>
      <c r="F81" s="2"/>
      <c r="G81" s="2"/>
      <c r="H81" s="2"/>
    </row>
    <row r="82" ht="15.75" customHeight="1">
      <c r="A82" s="2"/>
      <c r="B82" s="2"/>
      <c r="C82" s="2"/>
      <c r="D82" s="2"/>
      <c r="E82" s="2"/>
      <c r="F82" s="2"/>
      <c r="G82" s="2"/>
      <c r="H82" s="2"/>
    </row>
    <row r="83" ht="15.75" customHeight="1">
      <c r="A83" s="2"/>
      <c r="B83" s="2"/>
      <c r="C83" s="2"/>
      <c r="D83" s="2"/>
      <c r="E83" s="2"/>
      <c r="F83" s="2"/>
      <c r="G83" s="2"/>
      <c r="H83" s="2"/>
    </row>
    <row r="84" ht="15.75" customHeight="1">
      <c r="A84" s="2"/>
      <c r="B84" s="2"/>
      <c r="C84" s="2"/>
      <c r="D84" s="2"/>
      <c r="E84" s="2"/>
      <c r="F84" s="2"/>
      <c r="G84" s="2"/>
      <c r="H84" s="2"/>
    </row>
    <row r="85" ht="15.75" customHeight="1">
      <c r="A85" s="2"/>
      <c r="B85" s="2"/>
      <c r="C85" s="2"/>
      <c r="D85" s="2"/>
      <c r="E85" s="2"/>
      <c r="F85" s="2"/>
      <c r="G85" s="2"/>
      <c r="H85" s="2"/>
    </row>
    <row r="86" ht="15.75" customHeight="1">
      <c r="A86" s="2"/>
      <c r="B86" s="2"/>
      <c r="C86" s="2"/>
      <c r="D86" s="2"/>
      <c r="E86" s="2"/>
      <c r="F86" s="2"/>
      <c r="G86" s="2"/>
      <c r="H86" s="2"/>
    </row>
    <row r="87" ht="15.75" customHeight="1">
      <c r="A87" s="2"/>
      <c r="B87" s="2"/>
      <c r="C87" s="2"/>
      <c r="D87" s="2"/>
      <c r="E87" s="2"/>
      <c r="F87" s="2"/>
      <c r="G87" s="2"/>
      <c r="H87" s="2"/>
    </row>
    <row r="88" ht="15.75" customHeight="1">
      <c r="A88" s="2"/>
      <c r="B88" s="2"/>
      <c r="C88" s="2"/>
      <c r="D88" s="2"/>
      <c r="E88" s="2"/>
      <c r="F88" s="2"/>
      <c r="G88" s="2"/>
      <c r="H88" s="2"/>
    </row>
    <row r="89" ht="15.75" customHeight="1">
      <c r="A89" s="2"/>
      <c r="B89" s="2"/>
      <c r="C89" s="2"/>
      <c r="D89" s="2"/>
      <c r="E89" s="2"/>
      <c r="F89" s="2"/>
      <c r="G89" s="2"/>
      <c r="H89" s="2"/>
    </row>
    <row r="90" ht="15.75" customHeight="1">
      <c r="A90" s="2"/>
      <c r="B90" s="2"/>
      <c r="C90" s="2"/>
      <c r="D90" s="2"/>
      <c r="E90" s="2"/>
      <c r="F90" s="2"/>
      <c r="G90" s="2"/>
      <c r="H90" s="2"/>
    </row>
    <row r="91" ht="15.75" customHeight="1">
      <c r="A91" s="2"/>
      <c r="B91" s="2"/>
      <c r="C91" s="2"/>
      <c r="D91" s="2"/>
      <c r="E91" s="2"/>
      <c r="F91" s="2"/>
      <c r="G91" s="2"/>
      <c r="H91" s="2"/>
    </row>
    <row r="92" ht="15.75" customHeight="1">
      <c r="A92" s="2"/>
      <c r="B92" s="2"/>
      <c r="C92" s="2"/>
      <c r="D92" s="2"/>
      <c r="E92" s="2"/>
      <c r="F92" s="2"/>
      <c r="G92" s="2"/>
      <c r="H92" s="2"/>
    </row>
    <row r="93" ht="15.75" customHeight="1">
      <c r="A93" s="2"/>
      <c r="B93" s="2"/>
      <c r="C93" s="2"/>
      <c r="D93" s="2"/>
      <c r="E93" s="2"/>
      <c r="F93" s="2"/>
      <c r="G93" s="2"/>
      <c r="H93" s="2"/>
    </row>
    <row r="94" ht="15.75" customHeight="1">
      <c r="A94" s="2"/>
      <c r="B94" s="2"/>
      <c r="C94" s="2"/>
      <c r="D94" s="2"/>
      <c r="E94" s="2"/>
      <c r="F94" s="2"/>
      <c r="G94" s="2"/>
      <c r="H94" s="2"/>
    </row>
    <row r="95" ht="15.75" customHeight="1">
      <c r="A95" s="2"/>
      <c r="B95" s="2"/>
      <c r="C95" s="2"/>
      <c r="D95" s="2"/>
      <c r="E95" s="2"/>
      <c r="F95" s="2"/>
      <c r="G95" s="2"/>
      <c r="H95" s="2"/>
    </row>
    <row r="96" ht="15.75" customHeight="1">
      <c r="A96" s="2"/>
      <c r="B96" s="2"/>
      <c r="C96" s="2"/>
      <c r="D96" s="2"/>
      <c r="E96" s="2"/>
      <c r="F96" s="2"/>
      <c r="G96" s="2"/>
      <c r="H96" s="2"/>
    </row>
    <row r="97" ht="15.75" customHeight="1">
      <c r="A97" s="2"/>
      <c r="B97" s="2"/>
      <c r="C97" s="2"/>
      <c r="D97" s="2"/>
      <c r="E97" s="2"/>
      <c r="F97" s="2"/>
      <c r="G97" s="2"/>
      <c r="H97" s="2"/>
    </row>
    <row r="98" ht="15.75" customHeight="1">
      <c r="A98" s="2"/>
      <c r="B98" s="2"/>
      <c r="C98" s="2"/>
      <c r="D98" s="2"/>
      <c r="E98" s="2"/>
      <c r="F98" s="2"/>
      <c r="G98" s="2"/>
      <c r="H98" s="2"/>
    </row>
    <row r="99" ht="15.75" customHeight="1">
      <c r="A99" s="2"/>
      <c r="B99" s="2"/>
      <c r="C99" s="2"/>
      <c r="D99" s="2"/>
      <c r="E99" s="2"/>
      <c r="F99" s="2"/>
      <c r="G99" s="2"/>
      <c r="H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</row>
  </sheetData>
  <printOptions/>
  <pageMargins bottom="1.0" footer="0.0" header="0.0" left="0.75" right="0.75" top="1.0"/>
  <pageSetup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4.0"/>
    <col customWidth="1" min="3" max="3" width="22.0"/>
    <col customWidth="1" min="4" max="4" width="30.0"/>
    <col customWidth="1" min="5" max="5" width="18.0"/>
    <col customWidth="1" min="6" max="6" width="13.0"/>
    <col customWidth="1" min="7" max="7" width="20.0"/>
    <col customWidth="1" min="8" max="8" width="24.0"/>
  </cols>
  <sheetData>
    <row r="1">
      <c r="A1" s="18" t="s">
        <v>496</v>
      </c>
      <c r="B1" s="2"/>
      <c r="C1" s="2"/>
      <c r="D1" s="2"/>
      <c r="E1" s="2"/>
      <c r="F1" s="2"/>
      <c r="G1" s="2"/>
      <c r="H1" s="2"/>
    </row>
    <row r="2">
      <c r="A2" s="19" t="s">
        <v>497</v>
      </c>
      <c r="B2" s="2"/>
      <c r="C2" s="2"/>
      <c r="D2" s="2"/>
      <c r="E2" s="2"/>
      <c r="F2" s="2"/>
      <c r="G2" s="2"/>
      <c r="H2" s="2"/>
    </row>
    <row r="3">
      <c r="A3" s="2"/>
      <c r="B3" s="2"/>
      <c r="C3" s="2"/>
      <c r="D3" s="2"/>
      <c r="E3" s="2"/>
      <c r="F3" s="2"/>
      <c r="G3" s="2"/>
      <c r="H3" s="2"/>
    </row>
    <row r="4">
      <c r="A4" s="20" t="s">
        <v>81</v>
      </c>
      <c r="B4" s="20" t="s">
        <v>82</v>
      </c>
      <c r="C4" s="20" t="s">
        <v>83</v>
      </c>
      <c r="D4" s="20" t="s">
        <v>84</v>
      </c>
      <c r="E4" s="20" t="s">
        <v>85</v>
      </c>
      <c r="F4" s="20" t="s">
        <v>86</v>
      </c>
      <c r="G4" s="20" t="s">
        <v>87</v>
      </c>
      <c r="H4" s="20" t="s">
        <v>9</v>
      </c>
    </row>
    <row r="5">
      <c r="A5" s="5">
        <v>1.0</v>
      </c>
      <c r="B5" s="5" t="s">
        <v>72</v>
      </c>
      <c r="C5" s="5">
        <v>60.0</v>
      </c>
      <c r="D5" s="6" t="s">
        <v>498</v>
      </c>
      <c r="E5" s="5" t="str">
        <f>C5</f>
        <v>60</v>
      </c>
      <c r="F5" s="5" t="str">
        <f t="shared" ref="F5:F11" si="1">480-E5</f>
        <v>420</v>
      </c>
      <c r="G5" s="8" t="str">
        <f t="shared" ref="G5:G11" si="2">E5/480</f>
        <v>12.5%</v>
      </c>
      <c r="H5" s="5" t="str">
        <f t="shared" ref="H5:H11" si="3">IF(G5&gt;=1, "100.0% (Package Over)", TEXT(MIN(G5*100, 99.9), "0.0") &amp; "%")</f>
        <v>12.5%</v>
      </c>
    </row>
    <row r="6">
      <c r="A6" s="5">
        <v>2.0</v>
      </c>
      <c r="B6" s="5" t="s">
        <v>499</v>
      </c>
      <c r="C6" s="5">
        <v>60.0</v>
      </c>
      <c r="D6" s="6" t="s">
        <v>500</v>
      </c>
      <c r="E6" s="5" t="str">
        <f t="shared" ref="E6:E11" si="4">E5+C6</f>
        <v>120</v>
      </c>
      <c r="F6" s="5" t="str">
        <f t="shared" si="1"/>
        <v>360</v>
      </c>
      <c r="G6" s="8" t="str">
        <f t="shared" si="2"/>
        <v>25.0%</v>
      </c>
      <c r="H6" s="5" t="str">
        <f t="shared" si="3"/>
        <v>25.0%</v>
      </c>
    </row>
    <row r="7">
      <c r="A7" s="5">
        <v>3.0</v>
      </c>
      <c r="B7" s="5" t="s">
        <v>252</v>
      </c>
      <c r="C7" s="5">
        <v>90.0</v>
      </c>
      <c r="D7" s="6" t="s">
        <v>498</v>
      </c>
      <c r="E7" s="5" t="str">
        <f t="shared" si="4"/>
        <v>210</v>
      </c>
      <c r="F7" s="5" t="str">
        <f t="shared" si="1"/>
        <v>270</v>
      </c>
      <c r="G7" s="8" t="str">
        <f t="shared" si="2"/>
        <v>43.8%</v>
      </c>
      <c r="H7" s="5" t="str">
        <f t="shared" si="3"/>
        <v>43.8%</v>
      </c>
    </row>
    <row r="8">
      <c r="A8" s="5">
        <v>4.0</v>
      </c>
      <c r="B8" s="5" t="s">
        <v>252</v>
      </c>
      <c r="C8" s="5">
        <v>90.0</v>
      </c>
      <c r="D8" s="6" t="s">
        <v>501</v>
      </c>
      <c r="E8" s="5" t="str">
        <f t="shared" si="4"/>
        <v>300</v>
      </c>
      <c r="F8" s="5" t="str">
        <f t="shared" si="1"/>
        <v>180</v>
      </c>
      <c r="G8" s="8" t="str">
        <f t="shared" si="2"/>
        <v>62.5%</v>
      </c>
      <c r="H8" s="5" t="str">
        <f t="shared" si="3"/>
        <v>62.5%</v>
      </c>
    </row>
    <row r="9">
      <c r="A9" s="5">
        <v>5.0</v>
      </c>
      <c r="B9" s="5" t="s">
        <v>127</v>
      </c>
      <c r="C9" s="5">
        <v>60.0</v>
      </c>
      <c r="D9" s="6" t="s">
        <v>502</v>
      </c>
      <c r="E9" s="5" t="str">
        <f t="shared" si="4"/>
        <v>360</v>
      </c>
      <c r="F9" s="5" t="str">
        <f t="shared" si="1"/>
        <v>120</v>
      </c>
      <c r="G9" s="8" t="str">
        <f t="shared" si="2"/>
        <v>75.0%</v>
      </c>
      <c r="H9" s="5" t="str">
        <f t="shared" si="3"/>
        <v>75.0%</v>
      </c>
    </row>
    <row r="10">
      <c r="A10" s="5">
        <v>6.0</v>
      </c>
      <c r="B10" s="5" t="s">
        <v>503</v>
      </c>
      <c r="C10" s="5">
        <v>60.0</v>
      </c>
      <c r="D10" s="6" t="s">
        <v>502</v>
      </c>
      <c r="E10" s="5" t="str">
        <f t="shared" si="4"/>
        <v>420</v>
      </c>
      <c r="F10" s="5" t="str">
        <f t="shared" si="1"/>
        <v>60</v>
      </c>
      <c r="G10" s="8" t="str">
        <f t="shared" si="2"/>
        <v>87.5%</v>
      </c>
      <c r="H10" s="5" t="str">
        <f t="shared" si="3"/>
        <v>87.5%</v>
      </c>
    </row>
    <row r="11">
      <c r="A11" s="5">
        <v>7.0</v>
      </c>
      <c r="B11" s="5" t="s">
        <v>504</v>
      </c>
      <c r="C11" s="5">
        <v>60.0</v>
      </c>
      <c r="D11" s="6" t="s">
        <v>501</v>
      </c>
      <c r="E11" s="5" t="str">
        <f t="shared" si="4"/>
        <v>480</v>
      </c>
      <c r="F11" s="5" t="str">
        <f t="shared" si="1"/>
        <v>0</v>
      </c>
      <c r="G11" s="8" t="str">
        <f t="shared" si="2"/>
        <v>100.0%</v>
      </c>
      <c r="H11" s="5" t="str">
        <f t="shared" si="3"/>
        <v>100.0% (Package Over)</v>
      </c>
    </row>
    <row r="12">
      <c r="A12" s="2"/>
      <c r="B12" s="2"/>
      <c r="C12" s="2"/>
      <c r="D12" s="2"/>
      <c r="E12" s="2"/>
      <c r="F12" s="2"/>
      <c r="G12" s="2"/>
      <c r="H12" s="2"/>
    </row>
    <row r="13">
      <c r="A13" s="2"/>
      <c r="B13" s="2"/>
      <c r="C13" s="2"/>
      <c r="D13" s="2"/>
      <c r="E13" s="2"/>
      <c r="F13" s="2"/>
      <c r="G13" s="2"/>
      <c r="H13" s="2"/>
    </row>
    <row r="14">
      <c r="A14" s="2"/>
      <c r="B14" s="2"/>
      <c r="C14" s="2"/>
      <c r="D14" s="2"/>
      <c r="E14" s="2"/>
      <c r="F14" s="2"/>
      <c r="G14" s="2"/>
      <c r="H14" s="2"/>
    </row>
    <row r="15">
      <c r="A15" s="2"/>
      <c r="B15" s="2"/>
      <c r="C15" s="2"/>
      <c r="D15" s="2"/>
      <c r="E15" s="2"/>
      <c r="F15" s="2"/>
      <c r="G15" s="2"/>
      <c r="H15" s="2"/>
    </row>
    <row r="16">
      <c r="A16" s="2"/>
      <c r="B16" s="2"/>
      <c r="C16" s="2"/>
      <c r="D16" s="2"/>
      <c r="E16" s="2"/>
      <c r="F16" s="2"/>
      <c r="G16" s="2"/>
      <c r="H16" s="2"/>
    </row>
    <row r="17">
      <c r="A17" s="2"/>
      <c r="B17" s="2"/>
      <c r="C17" s="2"/>
      <c r="D17" s="2"/>
      <c r="E17" s="2"/>
      <c r="F17" s="2"/>
      <c r="G17" s="2"/>
      <c r="H17" s="2"/>
    </row>
    <row r="18">
      <c r="A18" s="2"/>
      <c r="B18" s="2"/>
      <c r="C18" s="2"/>
      <c r="D18" s="2"/>
      <c r="E18" s="2"/>
      <c r="F18" s="2"/>
      <c r="G18" s="2"/>
      <c r="H18" s="2"/>
    </row>
    <row r="19">
      <c r="A19" s="2"/>
      <c r="B19" s="2"/>
      <c r="C19" s="2"/>
      <c r="D19" s="2"/>
      <c r="E19" s="2"/>
      <c r="F19" s="2"/>
      <c r="G19" s="2"/>
      <c r="H19" s="2"/>
    </row>
    <row r="20">
      <c r="A20" s="2"/>
      <c r="B20" s="2"/>
      <c r="C20" s="2"/>
      <c r="D20" s="2"/>
      <c r="E20" s="2"/>
      <c r="F20" s="2"/>
      <c r="G20" s="2"/>
      <c r="H20" s="2"/>
    </row>
    <row r="21" ht="15.75" customHeight="1">
      <c r="A21" s="2"/>
      <c r="B21" s="2"/>
      <c r="C21" s="2"/>
      <c r="D21" s="2"/>
      <c r="E21" s="2"/>
      <c r="F21" s="2"/>
      <c r="G21" s="2"/>
      <c r="H21" s="2"/>
    </row>
    <row r="22" ht="15.75" customHeight="1">
      <c r="A22" s="2"/>
      <c r="B22" s="2"/>
      <c r="C22" s="2"/>
      <c r="D22" s="2"/>
      <c r="E22" s="2"/>
      <c r="F22" s="2"/>
      <c r="G22" s="2"/>
      <c r="H22" s="2"/>
    </row>
    <row r="23" ht="15.75" customHeight="1">
      <c r="A23" s="2"/>
      <c r="B23" s="2"/>
      <c r="C23" s="2"/>
      <c r="D23" s="2"/>
      <c r="E23" s="2"/>
      <c r="F23" s="2"/>
      <c r="G23" s="2"/>
      <c r="H23" s="2"/>
    </row>
    <row r="24" ht="15.75" customHeight="1">
      <c r="A24" s="2"/>
      <c r="B24" s="2"/>
      <c r="C24" s="2"/>
      <c r="D24" s="2"/>
      <c r="E24" s="2"/>
      <c r="F24" s="2"/>
      <c r="G24" s="2"/>
      <c r="H24" s="2"/>
    </row>
    <row r="25" ht="15.75" customHeight="1">
      <c r="A25" s="2"/>
      <c r="B25" s="2"/>
      <c r="C25" s="2"/>
      <c r="D25" s="2"/>
      <c r="E25" s="2"/>
      <c r="F25" s="2"/>
      <c r="G25" s="2"/>
      <c r="H25" s="2"/>
    </row>
    <row r="26" ht="15.75" customHeight="1">
      <c r="A26" s="2"/>
      <c r="B26" s="2"/>
      <c r="C26" s="2"/>
      <c r="D26" s="2"/>
      <c r="E26" s="2"/>
      <c r="F26" s="2"/>
      <c r="G26" s="2"/>
      <c r="H26" s="2"/>
    </row>
    <row r="27" ht="15.75" customHeight="1">
      <c r="A27" s="2"/>
      <c r="B27" s="2"/>
      <c r="C27" s="2"/>
      <c r="D27" s="2"/>
      <c r="E27" s="2"/>
      <c r="F27" s="2"/>
      <c r="G27" s="2"/>
      <c r="H27" s="2"/>
    </row>
    <row r="28" ht="15.75" customHeight="1">
      <c r="A28" s="2"/>
      <c r="B28" s="2"/>
      <c r="C28" s="2"/>
      <c r="D28" s="2"/>
      <c r="E28" s="2"/>
      <c r="F28" s="2"/>
      <c r="G28" s="2"/>
      <c r="H28" s="2"/>
    </row>
    <row r="29" ht="15.75" customHeight="1">
      <c r="A29" s="2"/>
      <c r="B29" s="2"/>
      <c r="C29" s="2"/>
      <c r="D29" s="2"/>
      <c r="E29" s="2"/>
      <c r="F29" s="2"/>
      <c r="G29" s="2"/>
      <c r="H29" s="2"/>
    </row>
    <row r="30" ht="15.75" customHeight="1">
      <c r="A30" s="2"/>
      <c r="B30" s="2"/>
      <c r="C30" s="2"/>
      <c r="D30" s="2"/>
      <c r="E30" s="2"/>
      <c r="F30" s="2"/>
      <c r="G30" s="2"/>
      <c r="H30" s="2"/>
    </row>
    <row r="31" ht="15.75" customHeight="1">
      <c r="A31" s="2"/>
      <c r="B31" s="2"/>
      <c r="C31" s="2"/>
      <c r="D31" s="2"/>
      <c r="E31" s="2"/>
      <c r="F31" s="2"/>
      <c r="G31" s="2"/>
      <c r="H31" s="2"/>
    </row>
    <row r="32" ht="15.75" customHeight="1">
      <c r="A32" s="2"/>
      <c r="B32" s="2"/>
      <c r="C32" s="2"/>
      <c r="D32" s="2"/>
      <c r="E32" s="2"/>
      <c r="F32" s="2"/>
      <c r="G32" s="2"/>
      <c r="H32" s="2"/>
    </row>
    <row r="33" ht="15.75" customHeight="1">
      <c r="A33" s="2"/>
      <c r="B33" s="2"/>
      <c r="C33" s="2"/>
      <c r="D33" s="2"/>
      <c r="E33" s="2"/>
      <c r="F33" s="2"/>
      <c r="G33" s="2"/>
      <c r="H33" s="2"/>
    </row>
    <row r="34" ht="15.75" customHeight="1">
      <c r="A34" s="2"/>
      <c r="B34" s="2"/>
      <c r="C34" s="2"/>
      <c r="D34" s="2"/>
      <c r="E34" s="2"/>
      <c r="F34" s="2"/>
      <c r="G34" s="2"/>
      <c r="H34" s="2"/>
    </row>
    <row r="35" ht="15.75" customHeight="1">
      <c r="A35" s="2"/>
      <c r="B35" s="2"/>
      <c r="C35" s="2"/>
      <c r="D35" s="2"/>
      <c r="E35" s="2"/>
      <c r="F35" s="2"/>
      <c r="G35" s="2"/>
      <c r="H35" s="2"/>
    </row>
    <row r="36" ht="15.75" customHeight="1">
      <c r="A36" s="2"/>
      <c r="B36" s="2"/>
      <c r="C36" s="2"/>
      <c r="D36" s="2"/>
      <c r="E36" s="2"/>
      <c r="F36" s="2"/>
      <c r="G36" s="2"/>
      <c r="H36" s="2"/>
    </row>
    <row r="37" ht="15.75" customHeight="1">
      <c r="A37" s="2"/>
      <c r="B37" s="2"/>
      <c r="C37" s="2"/>
      <c r="D37" s="2"/>
      <c r="E37" s="2"/>
      <c r="F37" s="2"/>
      <c r="G37" s="2"/>
      <c r="H37" s="2"/>
    </row>
    <row r="38" ht="15.75" customHeight="1">
      <c r="A38" s="2"/>
      <c r="B38" s="2"/>
      <c r="C38" s="2"/>
      <c r="D38" s="2"/>
      <c r="E38" s="2"/>
      <c r="F38" s="2"/>
      <c r="G38" s="2"/>
      <c r="H38" s="2"/>
    </row>
    <row r="39" ht="15.75" customHeight="1">
      <c r="A39" s="2"/>
      <c r="B39" s="2"/>
      <c r="C39" s="2"/>
      <c r="D39" s="2"/>
      <c r="E39" s="2"/>
      <c r="F39" s="2"/>
      <c r="G39" s="2"/>
      <c r="H39" s="2"/>
    </row>
    <row r="40" ht="15.75" customHeight="1">
      <c r="A40" s="2"/>
      <c r="B40" s="2"/>
      <c r="C40" s="2"/>
      <c r="D40" s="2"/>
      <c r="E40" s="2"/>
      <c r="F40" s="2"/>
      <c r="G40" s="2"/>
      <c r="H40" s="2"/>
    </row>
    <row r="41" ht="15.75" customHeight="1">
      <c r="A41" s="2"/>
      <c r="B41" s="2"/>
      <c r="C41" s="2"/>
      <c r="D41" s="2"/>
      <c r="E41" s="2"/>
      <c r="F41" s="2"/>
      <c r="G41" s="2"/>
      <c r="H41" s="2"/>
    </row>
    <row r="42" ht="15.75" customHeight="1">
      <c r="A42" s="2"/>
      <c r="B42" s="2"/>
      <c r="C42" s="2"/>
      <c r="D42" s="2"/>
      <c r="E42" s="2"/>
      <c r="F42" s="2"/>
      <c r="G42" s="2"/>
      <c r="H42" s="2"/>
    </row>
    <row r="43" ht="15.75" customHeight="1">
      <c r="A43" s="2"/>
      <c r="B43" s="2"/>
      <c r="C43" s="2"/>
      <c r="D43" s="2"/>
      <c r="E43" s="2"/>
      <c r="F43" s="2"/>
      <c r="G43" s="2"/>
      <c r="H43" s="2"/>
    </row>
    <row r="44" ht="15.75" customHeight="1">
      <c r="A44" s="2"/>
      <c r="B44" s="2"/>
      <c r="C44" s="2"/>
      <c r="D44" s="2"/>
      <c r="E44" s="2"/>
      <c r="F44" s="2"/>
      <c r="G44" s="2"/>
      <c r="H44" s="2"/>
    </row>
    <row r="45" ht="15.75" customHeight="1">
      <c r="A45" s="2"/>
      <c r="B45" s="2"/>
      <c r="C45" s="2"/>
      <c r="D45" s="2"/>
      <c r="E45" s="2"/>
      <c r="F45" s="2"/>
      <c r="G45" s="2"/>
      <c r="H45" s="2"/>
    </row>
    <row r="46" ht="15.75" customHeight="1">
      <c r="A46" s="2"/>
      <c r="B46" s="2"/>
      <c r="C46" s="2"/>
      <c r="D46" s="2"/>
      <c r="E46" s="2"/>
      <c r="F46" s="2"/>
      <c r="G46" s="2"/>
      <c r="H46" s="2"/>
    </row>
    <row r="47" ht="15.75" customHeight="1">
      <c r="A47" s="2"/>
      <c r="B47" s="2"/>
      <c r="C47" s="2"/>
      <c r="D47" s="2"/>
      <c r="E47" s="2"/>
      <c r="F47" s="2"/>
      <c r="G47" s="2"/>
      <c r="H47" s="2"/>
    </row>
    <row r="48" ht="15.75" customHeight="1">
      <c r="A48" s="2"/>
      <c r="B48" s="2"/>
      <c r="C48" s="2"/>
      <c r="D48" s="2"/>
      <c r="E48" s="2"/>
      <c r="F48" s="2"/>
      <c r="G48" s="2"/>
      <c r="H48" s="2"/>
    </row>
    <row r="49" ht="15.75" customHeight="1">
      <c r="A49" s="2"/>
      <c r="B49" s="2"/>
      <c r="C49" s="2"/>
      <c r="D49" s="2"/>
      <c r="E49" s="2"/>
      <c r="F49" s="2"/>
      <c r="G49" s="2"/>
      <c r="H49" s="2"/>
    </row>
    <row r="50" ht="15.75" customHeight="1">
      <c r="A50" s="2"/>
      <c r="B50" s="2"/>
      <c r="C50" s="2"/>
      <c r="D50" s="2"/>
      <c r="E50" s="2"/>
      <c r="F50" s="2"/>
      <c r="G50" s="2"/>
      <c r="H50" s="2"/>
    </row>
    <row r="51" ht="15.75" customHeight="1">
      <c r="A51" s="2"/>
      <c r="B51" s="2"/>
      <c r="C51" s="2"/>
      <c r="D51" s="2"/>
      <c r="E51" s="2"/>
      <c r="F51" s="2"/>
      <c r="G51" s="2"/>
      <c r="H51" s="2"/>
    </row>
    <row r="52" ht="15.75" customHeight="1">
      <c r="A52" s="2"/>
      <c r="B52" s="2"/>
      <c r="C52" s="2"/>
      <c r="D52" s="2"/>
      <c r="E52" s="2"/>
      <c r="F52" s="2"/>
      <c r="G52" s="2"/>
      <c r="H52" s="2"/>
    </row>
    <row r="53" ht="15.75" customHeight="1">
      <c r="A53" s="2"/>
      <c r="B53" s="2"/>
      <c r="C53" s="2"/>
      <c r="D53" s="2"/>
      <c r="E53" s="2"/>
      <c r="F53" s="2"/>
      <c r="G53" s="2"/>
      <c r="H53" s="2"/>
    </row>
    <row r="54" ht="15.75" customHeight="1">
      <c r="A54" s="2"/>
      <c r="B54" s="2"/>
      <c r="C54" s="2"/>
      <c r="D54" s="2"/>
      <c r="E54" s="2"/>
      <c r="F54" s="2"/>
      <c r="G54" s="2"/>
      <c r="H54" s="2"/>
    </row>
    <row r="55" ht="15.75" customHeight="1">
      <c r="A55" s="2"/>
      <c r="B55" s="2"/>
      <c r="C55" s="2"/>
      <c r="D55" s="2"/>
      <c r="E55" s="2"/>
      <c r="F55" s="2"/>
      <c r="G55" s="2"/>
      <c r="H55" s="2"/>
    </row>
    <row r="56" ht="15.75" customHeight="1">
      <c r="A56" s="2"/>
      <c r="B56" s="2"/>
      <c r="C56" s="2"/>
      <c r="D56" s="2"/>
      <c r="E56" s="2"/>
      <c r="F56" s="2"/>
      <c r="G56" s="2"/>
      <c r="H56" s="2"/>
    </row>
    <row r="57" ht="15.75" customHeight="1">
      <c r="A57" s="2"/>
      <c r="B57" s="2"/>
      <c r="C57" s="2"/>
      <c r="D57" s="2"/>
      <c r="E57" s="2"/>
      <c r="F57" s="2"/>
      <c r="G57" s="2"/>
      <c r="H57" s="2"/>
    </row>
    <row r="58" ht="15.75" customHeight="1">
      <c r="A58" s="2"/>
      <c r="B58" s="2"/>
      <c r="C58" s="2"/>
      <c r="D58" s="2"/>
      <c r="E58" s="2"/>
      <c r="F58" s="2"/>
      <c r="G58" s="2"/>
      <c r="H58" s="2"/>
    </row>
    <row r="59" ht="15.75" customHeight="1">
      <c r="A59" s="2"/>
      <c r="B59" s="2"/>
      <c r="C59" s="2"/>
      <c r="D59" s="2"/>
      <c r="E59" s="2"/>
      <c r="F59" s="2"/>
      <c r="G59" s="2"/>
      <c r="H59" s="2"/>
    </row>
    <row r="60" ht="15.75" customHeight="1">
      <c r="A60" s="2"/>
      <c r="B60" s="2"/>
      <c r="C60" s="2"/>
      <c r="D60" s="2"/>
      <c r="E60" s="2"/>
      <c r="F60" s="2"/>
      <c r="G60" s="2"/>
      <c r="H60" s="2"/>
    </row>
    <row r="61" ht="15.75" customHeight="1">
      <c r="A61" s="2"/>
      <c r="B61" s="2"/>
      <c r="C61" s="2"/>
      <c r="D61" s="2"/>
      <c r="E61" s="2"/>
      <c r="F61" s="2"/>
      <c r="G61" s="2"/>
      <c r="H61" s="2"/>
    </row>
    <row r="62" ht="15.75" customHeight="1">
      <c r="A62" s="2"/>
      <c r="B62" s="2"/>
      <c r="C62" s="2"/>
      <c r="D62" s="2"/>
      <c r="E62" s="2"/>
      <c r="F62" s="2"/>
      <c r="G62" s="2"/>
      <c r="H62" s="2"/>
    </row>
    <row r="63" ht="15.75" customHeight="1">
      <c r="A63" s="2"/>
      <c r="B63" s="2"/>
      <c r="C63" s="2"/>
      <c r="D63" s="2"/>
      <c r="E63" s="2"/>
      <c r="F63" s="2"/>
      <c r="G63" s="2"/>
      <c r="H63" s="2"/>
    </row>
    <row r="64" ht="15.75" customHeight="1">
      <c r="A64" s="2"/>
      <c r="B64" s="2"/>
      <c r="C64" s="2"/>
      <c r="D64" s="2"/>
      <c r="E64" s="2"/>
      <c r="F64" s="2"/>
      <c r="G64" s="2"/>
      <c r="H64" s="2"/>
    </row>
    <row r="65" ht="15.75" customHeight="1">
      <c r="A65" s="2"/>
      <c r="B65" s="2"/>
      <c r="C65" s="2"/>
      <c r="D65" s="2"/>
      <c r="E65" s="2"/>
      <c r="F65" s="2"/>
      <c r="G65" s="2"/>
      <c r="H65" s="2"/>
    </row>
    <row r="66" ht="15.75" customHeight="1">
      <c r="A66" s="2"/>
      <c r="B66" s="2"/>
      <c r="C66" s="2"/>
      <c r="D66" s="2"/>
      <c r="E66" s="2"/>
      <c r="F66" s="2"/>
      <c r="G66" s="2"/>
      <c r="H66" s="2"/>
    </row>
    <row r="67" ht="15.75" customHeight="1">
      <c r="A67" s="2"/>
      <c r="B67" s="2"/>
      <c r="C67" s="2"/>
      <c r="D67" s="2"/>
      <c r="E67" s="2"/>
      <c r="F67" s="2"/>
      <c r="G67" s="2"/>
      <c r="H67" s="2"/>
    </row>
    <row r="68" ht="15.75" customHeight="1">
      <c r="A68" s="2"/>
      <c r="B68" s="2"/>
      <c r="C68" s="2"/>
      <c r="D68" s="2"/>
      <c r="E68" s="2"/>
      <c r="F68" s="2"/>
      <c r="G68" s="2"/>
      <c r="H68" s="2"/>
    </row>
    <row r="69" ht="15.75" customHeight="1">
      <c r="A69" s="2"/>
      <c r="B69" s="2"/>
      <c r="C69" s="2"/>
      <c r="D69" s="2"/>
      <c r="E69" s="2"/>
      <c r="F69" s="2"/>
      <c r="G69" s="2"/>
      <c r="H69" s="2"/>
    </row>
    <row r="70" ht="15.75" customHeight="1">
      <c r="A70" s="2"/>
      <c r="B70" s="2"/>
      <c r="C70" s="2"/>
      <c r="D70" s="2"/>
      <c r="E70" s="2"/>
      <c r="F70" s="2"/>
      <c r="G70" s="2"/>
      <c r="H70" s="2"/>
    </row>
    <row r="71" ht="15.75" customHeight="1">
      <c r="A71" s="2"/>
      <c r="B71" s="2"/>
      <c r="C71" s="2"/>
      <c r="D71" s="2"/>
      <c r="E71" s="2"/>
      <c r="F71" s="2"/>
      <c r="G71" s="2"/>
      <c r="H71" s="2"/>
    </row>
    <row r="72" ht="15.75" customHeight="1">
      <c r="A72" s="2"/>
      <c r="B72" s="2"/>
      <c r="C72" s="2"/>
      <c r="D72" s="2"/>
      <c r="E72" s="2"/>
      <c r="F72" s="2"/>
      <c r="G72" s="2"/>
      <c r="H72" s="2"/>
    </row>
    <row r="73" ht="15.75" customHeight="1">
      <c r="A73" s="2"/>
      <c r="B73" s="2"/>
      <c r="C73" s="2"/>
      <c r="D73" s="2"/>
      <c r="E73" s="2"/>
      <c r="F73" s="2"/>
      <c r="G73" s="2"/>
      <c r="H73" s="2"/>
    </row>
    <row r="74" ht="15.75" customHeight="1">
      <c r="A74" s="2"/>
      <c r="B74" s="2"/>
      <c r="C74" s="2"/>
      <c r="D74" s="2"/>
      <c r="E74" s="2"/>
      <c r="F74" s="2"/>
      <c r="G74" s="2"/>
      <c r="H74" s="2"/>
    </row>
    <row r="75" ht="15.75" customHeight="1">
      <c r="A75" s="2"/>
      <c r="B75" s="2"/>
      <c r="C75" s="2"/>
      <c r="D75" s="2"/>
      <c r="E75" s="2"/>
      <c r="F75" s="2"/>
      <c r="G75" s="2"/>
      <c r="H75" s="2"/>
    </row>
    <row r="76" ht="15.75" customHeight="1">
      <c r="A76" s="2"/>
      <c r="B76" s="2"/>
      <c r="C76" s="2"/>
      <c r="D76" s="2"/>
      <c r="E76" s="2"/>
      <c r="F76" s="2"/>
      <c r="G76" s="2"/>
      <c r="H76" s="2"/>
    </row>
    <row r="77" ht="15.75" customHeight="1">
      <c r="A77" s="2"/>
      <c r="B77" s="2"/>
      <c r="C77" s="2"/>
      <c r="D77" s="2"/>
      <c r="E77" s="2"/>
      <c r="F77" s="2"/>
      <c r="G77" s="2"/>
      <c r="H77" s="2"/>
    </row>
    <row r="78" ht="15.75" customHeight="1">
      <c r="A78" s="2"/>
      <c r="B78" s="2"/>
      <c r="C78" s="2"/>
      <c r="D78" s="2"/>
      <c r="E78" s="2"/>
      <c r="F78" s="2"/>
      <c r="G78" s="2"/>
      <c r="H78" s="2"/>
    </row>
    <row r="79" ht="15.75" customHeight="1">
      <c r="A79" s="2"/>
      <c r="B79" s="2"/>
      <c r="C79" s="2"/>
      <c r="D79" s="2"/>
      <c r="E79" s="2"/>
      <c r="F79" s="2"/>
      <c r="G79" s="2"/>
      <c r="H79" s="2"/>
    </row>
    <row r="80" ht="15.75" customHeight="1">
      <c r="A80" s="2"/>
      <c r="B80" s="2"/>
      <c r="C80" s="2"/>
      <c r="D80" s="2"/>
      <c r="E80" s="2"/>
      <c r="F80" s="2"/>
      <c r="G80" s="2"/>
      <c r="H80" s="2"/>
    </row>
    <row r="81" ht="15.75" customHeight="1">
      <c r="A81" s="2"/>
      <c r="B81" s="2"/>
      <c r="C81" s="2"/>
      <c r="D81" s="2"/>
      <c r="E81" s="2"/>
      <c r="F81" s="2"/>
      <c r="G81" s="2"/>
      <c r="H81" s="2"/>
    </row>
    <row r="82" ht="15.75" customHeight="1">
      <c r="A82" s="2"/>
      <c r="B82" s="2"/>
      <c r="C82" s="2"/>
      <c r="D82" s="2"/>
      <c r="E82" s="2"/>
      <c r="F82" s="2"/>
      <c r="G82" s="2"/>
      <c r="H82" s="2"/>
    </row>
    <row r="83" ht="15.75" customHeight="1">
      <c r="A83" s="2"/>
      <c r="B83" s="2"/>
      <c r="C83" s="2"/>
      <c r="D83" s="2"/>
      <c r="E83" s="2"/>
      <c r="F83" s="2"/>
      <c r="G83" s="2"/>
      <c r="H83" s="2"/>
    </row>
    <row r="84" ht="15.75" customHeight="1">
      <c r="A84" s="2"/>
      <c r="B84" s="2"/>
      <c r="C84" s="2"/>
      <c r="D84" s="2"/>
      <c r="E84" s="2"/>
      <c r="F84" s="2"/>
      <c r="G84" s="2"/>
      <c r="H84" s="2"/>
    </row>
    <row r="85" ht="15.75" customHeight="1">
      <c r="A85" s="2"/>
      <c r="B85" s="2"/>
      <c r="C85" s="2"/>
      <c r="D85" s="2"/>
      <c r="E85" s="2"/>
      <c r="F85" s="2"/>
      <c r="G85" s="2"/>
      <c r="H85" s="2"/>
    </row>
    <row r="86" ht="15.75" customHeight="1">
      <c r="A86" s="2"/>
      <c r="B86" s="2"/>
      <c r="C86" s="2"/>
      <c r="D86" s="2"/>
      <c r="E86" s="2"/>
      <c r="F86" s="2"/>
      <c r="G86" s="2"/>
      <c r="H86" s="2"/>
    </row>
    <row r="87" ht="15.75" customHeight="1">
      <c r="A87" s="2"/>
      <c r="B87" s="2"/>
      <c r="C87" s="2"/>
      <c r="D87" s="2"/>
      <c r="E87" s="2"/>
      <c r="F87" s="2"/>
      <c r="G87" s="2"/>
      <c r="H87" s="2"/>
    </row>
    <row r="88" ht="15.75" customHeight="1">
      <c r="A88" s="2"/>
      <c r="B88" s="2"/>
      <c r="C88" s="2"/>
      <c r="D88" s="2"/>
      <c r="E88" s="2"/>
      <c r="F88" s="2"/>
      <c r="G88" s="2"/>
      <c r="H88" s="2"/>
    </row>
    <row r="89" ht="15.75" customHeight="1">
      <c r="A89" s="2"/>
      <c r="B89" s="2"/>
      <c r="C89" s="2"/>
      <c r="D89" s="2"/>
      <c r="E89" s="2"/>
      <c r="F89" s="2"/>
      <c r="G89" s="2"/>
      <c r="H89" s="2"/>
    </row>
    <row r="90" ht="15.75" customHeight="1">
      <c r="A90" s="2"/>
      <c r="B90" s="2"/>
      <c r="C90" s="2"/>
      <c r="D90" s="2"/>
      <c r="E90" s="2"/>
      <c r="F90" s="2"/>
      <c r="G90" s="2"/>
      <c r="H90" s="2"/>
    </row>
    <row r="91" ht="15.75" customHeight="1">
      <c r="A91" s="2"/>
      <c r="B91" s="2"/>
      <c r="C91" s="2"/>
      <c r="D91" s="2"/>
      <c r="E91" s="2"/>
      <c r="F91" s="2"/>
      <c r="G91" s="2"/>
      <c r="H91" s="2"/>
    </row>
    <row r="92" ht="15.75" customHeight="1">
      <c r="A92" s="2"/>
      <c r="B92" s="2"/>
      <c r="C92" s="2"/>
      <c r="D92" s="2"/>
      <c r="E92" s="2"/>
      <c r="F92" s="2"/>
      <c r="G92" s="2"/>
      <c r="H92" s="2"/>
    </row>
    <row r="93" ht="15.75" customHeight="1">
      <c r="A93" s="2"/>
      <c r="B93" s="2"/>
      <c r="C93" s="2"/>
      <c r="D93" s="2"/>
      <c r="E93" s="2"/>
      <c r="F93" s="2"/>
      <c r="G93" s="2"/>
      <c r="H93" s="2"/>
    </row>
    <row r="94" ht="15.75" customHeight="1">
      <c r="A94" s="2"/>
      <c r="B94" s="2"/>
      <c r="C94" s="2"/>
      <c r="D94" s="2"/>
      <c r="E94" s="2"/>
      <c r="F94" s="2"/>
      <c r="G94" s="2"/>
      <c r="H94" s="2"/>
    </row>
    <row r="95" ht="15.75" customHeight="1">
      <c r="A95" s="2"/>
      <c r="B95" s="2"/>
      <c r="C95" s="2"/>
      <c r="D95" s="2"/>
      <c r="E95" s="2"/>
      <c r="F95" s="2"/>
      <c r="G95" s="2"/>
      <c r="H95" s="2"/>
    </row>
    <row r="96" ht="15.75" customHeight="1">
      <c r="A96" s="2"/>
      <c r="B96" s="2"/>
      <c r="C96" s="2"/>
      <c r="D96" s="2"/>
      <c r="E96" s="2"/>
      <c r="F96" s="2"/>
      <c r="G96" s="2"/>
      <c r="H96" s="2"/>
    </row>
    <row r="97" ht="15.75" customHeight="1">
      <c r="A97" s="2"/>
      <c r="B97" s="2"/>
      <c r="C97" s="2"/>
      <c r="D97" s="2"/>
      <c r="E97" s="2"/>
      <c r="F97" s="2"/>
      <c r="G97" s="2"/>
      <c r="H97" s="2"/>
    </row>
    <row r="98" ht="15.75" customHeight="1">
      <c r="A98" s="2"/>
      <c r="B98" s="2"/>
      <c r="C98" s="2"/>
      <c r="D98" s="2"/>
      <c r="E98" s="2"/>
      <c r="F98" s="2"/>
      <c r="G98" s="2"/>
      <c r="H98" s="2"/>
    </row>
    <row r="99" ht="15.75" customHeight="1">
      <c r="A99" s="2"/>
      <c r="B99" s="2"/>
      <c r="C99" s="2"/>
      <c r="D99" s="2"/>
      <c r="E99" s="2"/>
      <c r="F99" s="2"/>
      <c r="G99" s="2"/>
      <c r="H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</row>
  </sheetData>
  <printOptions/>
  <pageMargins bottom="1.0" footer="0.0" header="0.0" left="0.75" right="0.75" top="1.0"/>
  <pageSetup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4.0"/>
    <col customWidth="1" min="3" max="3" width="22.0"/>
    <col customWidth="1" min="4" max="4" width="30.0"/>
    <col customWidth="1" min="5" max="5" width="18.0"/>
    <col customWidth="1" min="6" max="6" width="13.0"/>
    <col customWidth="1" min="7" max="7" width="20.0"/>
    <col customWidth="1" min="8" max="8" width="24.0"/>
  </cols>
  <sheetData>
    <row r="1">
      <c r="A1" s="18" t="s">
        <v>505</v>
      </c>
      <c r="B1" s="2"/>
      <c r="C1" s="2"/>
      <c r="D1" s="2"/>
      <c r="E1" s="2"/>
      <c r="F1" s="2"/>
      <c r="G1" s="2"/>
      <c r="H1" s="2"/>
    </row>
    <row r="2">
      <c r="A2" s="19" t="s">
        <v>506</v>
      </c>
      <c r="B2" s="2"/>
      <c r="C2" s="2"/>
      <c r="D2" s="2"/>
      <c r="E2" s="2"/>
      <c r="F2" s="2"/>
      <c r="G2" s="2"/>
      <c r="H2" s="2"/>
    </row>
    <row r="3">
      <c r="A3" s="2"/>
      <c r="B3" s="2"/>
      <c r="C3" s="2"/>
      <c r="D3" s="2"/>
      <c r="E3" s="2"/>
      <c r="F3" s="2"/>
      <c r="G3" s="2"/>
      <c r="H3" s="2"/>
    </row>
    <row r="4">
      <c r="A4" s="20" t="s">
        <v>81</v>
      </c>
      <c r="B4" s="20" t="s">
        <v>82</v>
      </c>
      <c r="C4" s="20" t="s">
        <v>83</v>
      </c>
      <c r="D4" s="20" t="s">
        <v>84</v>
      </c>
      <c r="E4" s="20" t="s">
        <v>85</v>
      </c>
      <c r="F4" s="20" t="s">
        <v>86</v>
      </c>
      <c r="G4" s="20" t="s">
        <v>87</v>
      </c>
      <c r="H4" s="20" t="s">
        <v>9</v>
      </c>
    </row>
    <row r="5">
      <c r="A5" s="5">
        <v>1.0</v>
      </c>
      <c r="B5" s="5" t="s">
        <v>72</v>
      </c>
      <c r="C5" s="5">
        <v>950.0</v>
      </c>
      <c r="D5" s="6" t="s">
        <v>507</v>
      </c>
      <c r="E5" s="5" t="str">
        <f>C5</f>
        <v>950</v>
      </c>
      <c r="F5" s="5" t="str">
        <f t="shared" ref="F5:F7" si="1">7000-E5</f>
        <v>6050</v>
      </c>
      <c r="G5" s="8" t="str">
        <f t="shared" ref="G5:G7" si="2">E5/7000</f>
        <v>13.6%</v>
      </c>
      <c r="H5" s="5" t="str">
        <f t="shared" ref="H5:H7" si="3">IF(G5&gt;=1, "100.0% (Package Over)", TEXT(MIN(G5*100, 99.9), "0.0") &amp; "%")</f>
        <v>13.6%</v>
      </c>
    </row>
    <row r="6">
      <c r="A6" s="5">
        <v>2.0</v>
      </c>
      <c r="B6" s="5" t="s">
        <v>508</v>
      </c>
      <c r="C6" s="5">
        <v>950.0</v>
      </c>
      <c r="D6" s="6" t="s">
        <v>509</v>
      </c>
      <c r="E6" s="5" t="str">
        <f t="shared" ref="E6:E7" si="4">E5+C6</f>
        <v>1900</v>
      </c>
      <c r="F6" s="5" t="str">
        <f t="shared" si="1"/>
        <v>5100</v>
      </c>
      <c r="G6" s="8" t="str">
        <f t="shared" si="2"/>
        <v>27.1%</v>
      </c>
      <c r="H6" s="5" t="str">
        <f t="shared" si="3"/>
        <v>27.1%</v>
      </c>
    </row>
    <row r="7">
      <c r="A7" s="5">
        <v>3.0</v>
      </c>
      <c r="B7" s="5" t="s">
        <v>508</v>
      </c>
      <c r="C7" s="5">
        <v>950.0</v>
      </c>
      <c r="D7" s="6" t="s">
        <v>510</v>
      </c>
      <c r="E7" s="5" t="str">
        <f t="shared" si="4"/>
        <v>2850</v>
      </c>
      <c r="F7" s="5" t="str">
        <f t="shared" si="1"/>
        <v>4150</v>
      </c>
      <c r="G7" s="8" t="str">
        <f t="shared" si="2"/>
        <v>40.7%</v>
      </c>
      <c r="H7" s="5" t="str">
        <f t="shared" si="3"/>
        <v>40.7%</v>
      </c>
    </row>
    <row r="8">
      <c r="A8" s="2"/>
      <c r="B8" s="2"/>
      <c r="C8" s="2"/>
      <c r="D8" s="2"/>
      <c r="E8" s="2"/>
      <c r="F8" s="2"/>
      <c r="G8" s="2"/>
      <c r="H8" s="2"/>
    </row>
    <row r="9">
      <c r="A9" s="2"/>
      <c r="B9" s="2"/>
      <c r="C9" s="2"/>
      <c r="D9" s="2"/>
      <c r="E9" s="2"/>
      <c r="F9" s="2"/>
      <c r="G9" s="2"/>
      <c r="H9" s="2"/>
    </row>
    <row r="10">
      <c r="A10" s="2"/>
      <c r="B10" s="2"/>
      <c r="C10" s="2"/>
      <c r="D10" s="2"/>
      <c r="E10" s="2"/>
      <c r="F10" s="2"/>
      <c r="G10" s="2"/>
      <c r="H10" s="2"/>
    </row>
    <row r="11">
      <c r="A11" s="2"/>
      <c r="B11" s="2"/>
      <c r="C11" s="2"/>
      <c r="D11" s="2"/>
      <c r="E11" s="2"/>
      <c r="F11" s="2"/>
      <c r="G11" s="2"/>
      <c r="H11" s="2"/>
    </row>
    <row r="12">
      <c r="A12" s="2"/>
      <c r="B12" s="2"/>
      <c r="C12" s="2"/>
      <c r="D12" s="2"/>
      <c r="E12" s="2"/>
      <c r="F12" s="2"/>
      <c r="G12" s="2"/>
      <c r="H12" s="2"/>
    </row>
    <row r="13">
      <c r="A13" s="2"/>
      <c r="B13" s="2"/>
      <c r="C13" s="2"/>
      <c r="D13" s="2"/>
      <c r="E13" s="2"/>
      <c r="F13" s="2"/>
      <c r="G13" s="2"/>
      <c r="H13" s="2"/>
    </row>
    <row r="14">
      <c r="A14" s="2"/>
      <c r="B14" s="2"/>
      <c r="C14" s="2"/>
      <c r="D14" s="2"/>
      <c r="E14" s="2"/>
      <c r="F14" s="2"/>
      <c r="G14" s="2"/>
      <c r="H14" s="2"/>
    </row>
    <row r="15">
      <c r="A15" s="2"/>
      <c r="B15" s="2"/>
      <c r="C15" s="2"/>
      <c r="D15" s="2"/>
      <c r="E15" s="2"/>
      <c r="F15" s="2"/>
      <c r="G15" s="2"/>
      <c r="H15" s="2"/>
    </row>
    <row r="16">
      <c r="A16" s="2"/>
      <c r="B16" s="2"/>
      <c r="C16" s="2"/>
      <c r="D16" s="2"/>
      <c r="E16" s="2"/>
      <c r="F16" s="2"/>
      <c r="G16" s="2"/>
      <c r="H16" s="2"/>
    </row>
    <row r="17">
      <c r="A17" s="2"/>
      <c r="B17" s="2"/>
      <c r="C17" s="2"/>
      <c r="D17" s="2"/>
      <c r="E17" s="2"/>
      <c r="F17" s="2"/>
      <c r="G17" s="2"/>
      <c r="H17" s="2"/>
    </row>
    <row r="18">
      <c r="A18" s="2"/>
      <c r="B18" s="2"/>
      <c r="C18" s="2"/>
      <c r="D18" s="2"/>
      <c r="E18" s="2"/>
      <c r="F18" s="2"/>
      <c r="G18" s="2"/>
      <c r="H18" s="2"/>
    </row>
    <row r="19">
      <c r="A19" s="2"/>
      <c r="B19" s="2"/>
      <c r="C19" s="2"/>
      <c r="D19" s="2"/>
      <c r="E19" s="2"/>
      <c r="F19" s="2"/>
      <c r="G19" s="2"/>
      <c r="H19" s="2"/>
    </row>
    <row r="20">
      <c r="A20" s="2"/>
      <c r="B20" s="2"/>
      <c r="C20" s="2"/>
      <c r="D20" s="2"/>
      <c r="E20" s="2"/>
      <c r="F20" s="2"/>
      <c r="G20" s="2"/>
      <c r="H20" s="2"/>
    </row>
    <row r="21" ht="15.75" customHeight="1">
      <c r="A21" s="2"/>
      <c r="B21" s="2"/>
      <c r="C21" s="2"/>
      <c r="D21" s="2"/>
      <c r="E21" s="2"/>
      <c r="F21" s="2"/>
      <c r="G21" s="2"/>
      <c r="H21" s="2"/>
    </row>
    <row r="22" ht="15.75" customHeight="1">
      <c r="A22" s="2"/>
      <c r="B22" s="2"/>
      <c r="C22" s="2"/>
      <c r="D22" s="2"/>
      <c r="E22" s="2"/>
      <c r="F22" s="2"/>
      <c r="G22" s="2"/>
      <c r="H22" s="2"/>
    </row>
    <row r="23" ht="15.75" customHeight="1">
      <c r="A23" s="2"/>
      <c r="B23" s="2"/>
      <c r="C23" s="2"/>
      <c r="D23" s="2"/>
      <c r="E23" s="2"/>
      <c r="F23" s="2"/>
      <c r="G23" s="2"/>
      <c r="H23" s="2"/>
    </row>
    <row r="24" ht="15.75" customHeight="1">
      <c r="A24" s="2"/>
      <c r="B24" s="2"/>
      <c r="C24" s="2"/>
      <c r="D24" s="2"/>
      <c r="E24" s="2"/>
      <c r="F24" s="2"/>
      <c r="G24" s="2"/>
      <c r="H24" s="2"/>
    </row>
    <row r="25" ht="15.75" customHeight="1">
      <c r="A25" s="2"/>
      <c r="B25" s="2"/>
      <c r="C25" s="2"/>
      <c r="D25" s="2"/>
      <c r="E25" s="2"/>
      <c r="F25" s="2"/>
      <c r="G25" s="2"/>
      <c r="H25" s="2"/>
    </row>
    <row r="26" ht="15.75" customHeight="1">
      <c r="A26" s="2"/>
      <c r="B26" s="2"/>
      <c r="C26" s="2"/>
      <c r="D26" s="2"/>
      <c r="E26" s="2"/>
      <c r="F26" s="2"/>
      <c r="G26" s="2"/>
      <c r="H26" s="2"/>
    </row>
    <row r="27" ht="15.75" customHeight="1">
      <c r="A27" s="2"/>
      <c r="B27" s="2"/>
      <c r="C27" s="2"/>
      <c r="D27" s="2"/>
      <c r="E27" s="2"/>
      <c r="F27" s="2"/>
      <c r="G27" s="2"/>
      <c r="H27" s="2"/>
    </row>
    <row r="28" ht="15.75" customHeight="1">
      <c r="A28" s="2"/>
      <c r="B28" s="2"/>
      <c r="C28" s="2"/>
      <c r="D28" s="2"/>
      <c r="E28" s="2"/>
      <c r="F28" s="2"/>
      <c r="G28" s="2"/>
      <c r="H28" s="2"/>
    </row>
    <row r="29" ht="15.75" customHeight="1">
      <c r="A29" s="2"/>
      <c r="B29" s="2"/>
      <c r="C29" s="2"/>
      <c r="D29" s="2"/>
      <c r="E29" s="2"/>
      <c r="F29" s="2"/>
      <c r="G29" s="2"/>
      <c r="H29" s="2"/>
    </row>
    <row r="30" ht="15.75" customHeight="1">
      <c r="A30" s="2"/>
      <c r="B30" s="2"/>
      <c r="C30" s="2"/>
      <c r="D30" s="2"/>
      <c r="E30" s="2"/>
      <c r="F30" s="2"/>
      <c r="G30" s="2"/>
      <c r="H30" s="2"/>
    </row>
    <row r="31" ht="15.75" customHeight="1">
      <c r="A31" s="2"/>
      <c r="B31" s="2"/>
      <c r="C31" s="2"/>
      <c r="D31" s="2"/>
      <c r="E31" s="2"/>
      <c r="F31" s="2"/>
      <c r="G31" s="2"/>
      <c r="H31" s="2"/>
    </row>
    <row r="32" ht="15.75" customHeight="1">
      <c r="A32" s="2"/>
      <c r="B32" s="2"/>
      <c r="C32" s="2"/>
      <c r="D32" s="2"/>
      <c r="E32" s="2"/>
      <c r="F32" s="2"/>
      <c r="G32" s="2"/>
      <c r="H32" s="2"/>
    </row>
    <row r="33" ht="15.75" customHeight="1">
      <c r="A33" s="2"/>
      <c r="B33" s="2"/>
      <c r="C33" s="2"/>
      <c r="D33" s="2"/>
      <c r="E33" s="2"/>
      <c r="F33" s="2"/>
      <c r="G33" s="2"/>
      <c r="H33" s="2"/>
    </row>
    <row r="34" ht="15.75" customHeight="1">
      <c r="A34" s="2"/>
      <c r="B34" s="2"/>
      <c r="C34" s="2"/>
      <c r="D34" s="2"/>
      <c r="E34" s="2"/>
      <c r="F34" s="2"/>
      <c r="G34" s="2"/>
      <c r="H34" s="2"/>
    </row>
    <row r="35" ht="15.75" customHeight="1">
      <c r="A35" s="2"/>
      <c r="B35" s="2"/>
      <c r="C35" s="2"/>
      <c r="D35" s="2"/>
      <c r="E35" s="2"/>
      <c r="F35" s="2"/>
      <c r="G35" s="2"/>
      <c r="H35" s="2"/>
    </row>
    <row r="36" ht="15.75" customHeight="1">
      <c r="A36" s="2"/>
      <c r="B36" s="2"/>
      <c r="C36" s="2"/>
      <c r="D36" s="2"/>
      <c r="E36" s="2"/>
      <c r="F36" s="2"/>
      <c r="G36" s="2"/>
      <c r="H36" s="2"/>
    </row>
    <row r="37" ht="15.75" customHeight="1">
      <c r="A37" s="2"/>
      <c r="B37" s="2"/>
      <c r="C37" s="2"/>
      <c r="D37" s="2"/>
      <c r="E37" s="2"/>
      <c r="F37" s="2"/>
      <c r="G37" s="2"/>
      <c r="H37" s="2"/>
    </row>
    <row r="38" ht="15.75" customHeight="1">
      <c r="A38" s="2"/>
      <c r="B38" s="2"/>
      <c r="C38" s="2"/>
      <c r="D38" s="2"/>
      <c r="E38" s="2"/>
      <c r="F38" s="2"/>
      <c r="G38" s="2"/>
      <c r="H38" s="2"/>
    </row>
    <row r="39" ht="15.75" customHeight="1">
      <c r="A39" s="2"/>
      <c r="B39" s="2"/>
      <c r="C39" s="2"/>
      <c r="D39" s="2"/>
      <c r="E39" s="2"/>
      <c r="F39" s="2"/>
      <c r="G39" s="2"/>
      <c r="H39" s="2"/>
    </row>
    <row r="40" ht="15.75" customHeight="1">
      <c r="A40" s="2"/>
      <c r="B40" s="2"/>
      <c r="C40" s="2"/>
      <c r="D40" s="2"/>
      <c r="E40" s="2"/>
      <c r="F40" s="2"/>
      <c r="G40" s="2"/>
      <c r="H40" s="2"/>
    </row>
    <row r="41" ht="15.75" customHeight="1">
      <c r="A41" s="2"/>
      <c r="B41" s="2"/>
      <c r="C41" s="2"/>
      <c r="D41" s="2"/>
      <c r="E41" s="2"/>
      <c r="F41" s="2"/>
      <c r="G41" s="2"/>
      <c r="H41" s="2"/>
    </row>
    <row r="42" ht="15.75" customHeight="1">
      <c r="A42" s="2"/>
      <c r="B42" s="2"/>
      <c r="C42" s="2"/>
      <c r="D42" s="2"/>
      <c r="E42" s="2"/>
      <c r="F42" s="2"/>
      <c r="G42" s="2"/>
      <c r="H42" s="2"/>
    </row>
    <row r="43" ht="15.75" customHeight="1">
      <c r="A43" s="2"/>
      <c r="B43" s="2"/>
      <c r="C43" s="2"/>
      <c r="D43" s="2"/>
      <c r="E43" s="2"/>
      <c r="F43" s="2"/>
      <c r="G43" s="2"/>
      <c r="H43" s="2"/>
    </row>
    <row r="44" ht="15.75" customHeight="1">
      <c r="A44" s="2"/>
      <c r="B44" s="2"/>
      <c r="C44" s="2"/>
      <c r="D44" s="2"/>
      <c r="E44" s="2"/>
      <c r="F44" s="2"/>
      <c r="G44" s="2"/>
      <c r="H44" s="2"/>
    </row>
    <row r="45" ht="15.75" customHeight="1">
      <c r="A45" s="2"/>
      <c r="B45" s="2"/>
      <c r="C45" s="2"/>
      <c r="D45" s="2"/>
      <c r="E45" s="2"/>
      <c r="F45" s="2"/>
      <c r="G45" s="2"/>
      <c r="H45" s="2"/>
    </row>
    <row r="46" ht="15.75" customHeight="1">
      <c r="A46" s="2"/>
      <c r="B46" s="2"/>
      <c r="C46" s="2"/>
      <c r="D46" s="2"/>
      <c r="E46" s="2"/>
      <c r="F46" s="2"/>
      <c r="G46" s="2"/>
      <c r="H46" s="2"/>
    </row>
    <row r="47" ht="15.75" customHeight="1">
      <c r="A47" s="2"/>
      <c r="B47" s="2"/>
      <c r="C47" s="2"/>
      <c r="D47" s="2"/>
      <c r="E47" s="2"/>
      <c r="F47" s="2"/>
      <c r="G47" s="2"/>
      <c r="H47" s="2"/>
    </row>
    <row r="48" ht="15.75" customHeight="1">
      <c r="A48" s="2"/>
      <c r="B48" s="2"/>
      <c r="C48" s="2"/>
      <c r="D48" s="2"/>
      <c r="E48" s="2"/>
      <c r="F48" s="2"/>
      <c r="G48" s="2"/>
      <c r="H48" s="2"/>
    </row>
    <row r="49" ht="15.75" customHeight="1">
      <c r="A49" s="2"/>
      <c r="B49" s="2"/>
      <c r="C49" s="2"/>
      <c r="D49" s="2"/>
      <c r="E49" s="2"/>
      <c r="F49" s="2"/>
      <c r="G49" s="2"/>
      <c r="H49" s="2"/>
    </row>
    <row r="50" ht="15.75" customHeight="1">
      <c r="A50" s="2"/>
      <c r="B50" s="2"/>
      <c r="C50" s="2"/>
      <c r="D50" s="2"/>
      <c r="E50" s="2"/>
      <c r="F50" s="2"/>
      <c r="G50" s="2"/>
      <c r="H50" s="2"/>
    </row>
    <row r="51" ht="15.75" customHeight="1">
      <c r="A51" s="2"/>
      <c r="B51" s="2"/>
      <c r="C51" s="2"/>
      <c r="D51" s="2"/>
      <c r="E51" s="2"/>
      <c r="F51" s="2"/>
      <c r="G51" s="2"/>
      <c r="H51" s="2"/>
    </row>
    <row r="52" ht="15.75" customHeight="1">
      <c r="A52" s="2"/>
      <c r="B52" s="2"/>
      <c r="C52" s="2"/>
      <c r="D52" s="2"/>
      <c r="E52" s="2"/>
      <c r="F52" s="2"/>
      <c r="G52" s="2"/>
      <c r="H52" s="2"/>
    </row>
    <row r="53" ht="15.75" customHeight="1">
      <c r="A53" s="2"/>
      <c r="B53" s="2"/>
      <c r="C53" s="2"/>
      <c r="D53" s="2"/>
      <c r="E53" s="2"/>
      <c r="F53" s="2"/>
      <c r="G53" s="2"/>
      <c r="H53" s="2"/>
    </row>
    <row r="54" ht="15.75" customHeight="1">
      <c r="A54" s="2"/>
      <c r="B54" s="2"/>
      <c r="C54" s="2"/>
      <c r="D54" s="2"/>
      <c r="E54" s="2"/>
      <c r="F54" s="2"/>
      <c r="G54" s="2"/>
      <c r="H54" s="2"/>
    </row>
    <row r="55" ht="15.75" customHeight="1">
      <c r="A55" s="2"/>
      <c r="B55" s="2"/>
      <c r="C55" s="2"/>
      <c r="D55" s="2"/>
      <c r="E55" s="2"/>
      <c r="F55" s="2"/>
      <c r="G55" s="2"/>
      <c r="H55" s="2"/>
    </row>
    <row r="56" ht="15.75" customHeight="1">
      <c r="A56" s="2"/>
      <c r="B56" s="2"/>
      <c r="C56" s="2"/>
      <c r="D56" s="2"/>
      <c r="E56" s="2"/>
      <c r="F56" s="2"/>
      <c r="G56" s="2"/>
      <c r="H56" s="2"/>
    </row>
    <row r="57" ht="15.75" customHeight="1">
      <c r="A57" s="2"/>
      <c r="B57" s="2"/>
      <c r="C57" s="2"/>
      <c r="D57" s="2"/>
      <c r="E57" s="2"/>
      <c r="F57" s="2"/>
      <c r="G57" s="2"/>
      <c r="H57" s="2"/>
    </row>
    <row r="58" ht="15.75" customHeight="1">
      <c r="A58" s="2"/>
      <c r="B58" s="2"/>
      <c r="C58" s="2"/>
      <c r="D58" s="2"/>
      <c r="E58" s="2"/>
      <c r="F58" s="2"/>
      <c r="G58" s="2"/>
      <c r="H58" s="2"/>
    </row>
    <row r="59" ht="15.75" customHeight="1">
      <c r="A59" s="2"/>
      <c r="B59" s="2"/>
      <c r="C59" s="2"/>
      <c r="D59" s="2"/>
      <c r="E59" s="2"/>
      <c r="F59" s="2"/>
      <c r="G59" s="2"/>
      <c r="H59" s="2"/>
    </row>
    <row r="60" ht="15.75" customHeight="1">
      <c r="A60" s="2"/>
      <c r="B60" s="2"/>
      <c r="C60" s="2"/>
      <c r="D60" s="2"/>
      <c r="E60" s="2"/>
      <c r="F60" s="2"/>
      <c r="G60" s="2"/>
      <c r="H60" s="2"/>
    </row>
    <row r="61" ht="15.75" customHeight="1">
      <c r="A61" s="2"/>
      <c r="B61" s="2"/>
      <c r="C61" s="2"/>
      <c r="D61" s="2"/>
      <c r="E61" s="2"/>
      <c r="F61" s="2"/>
      <c r="G61" s="2"/>
      <c r="H61" s="2"/>
    </row>
    <row r="62" ht="15.75" customHeight="1">
      <c r="A62" s="2"/>
      <c r="B62" s="2"/>
      <c r="C62" s="2"/>
      <c r="D62" s="2"/>
      <c r="E62" s="2"/>
      <c r="F62" s="2"/>
      <c r="G62" s="2"/>
      <c r="H62" s="2"/>
    </row>
    <row r="63" ht="15.75" customHeight="1">
      <c r="A63" s="2"/>
      <c r="B63" s="2"/>
      <c r="C63" s="2"/>
      <c r="D63" s="2"/>
      <c r="E63" s="2"/>
      <c r="F63" s="2"/>
      <c r="G63" s="2"/>
      <c r="H63" s="2"/>
    </row>
    <row r="64" ht="15.75" customHeight="1">
      <c r="A64" s="2"/>
      <c r="B64" s="2"/>
      <c r="C64" s="2"/>
      <c r="D64" s="2"/>
      <c r="E64" s="2"/>
      <c r="F64" s="2"/>
      <c r="G64" s="2"/>
      <c r="H64" s="2"/>
    </row>
    <row r="65" ht="15.75" customHeight="1">
      <c r="A65" s="2"/>
      <c r="B65" s="2"/>
      <c r="C65" s="2"/>
      <c r="D65" s="2"/>
      <c r="E65" s="2"/>
      <c r="F65" s="2"/>
      <c r="G65" s="2"/>
      <c r="H65" s="2"/>
    </row>
    <row r="66" ht="15.75" customHeight="1">
      <c r="A66" s="2"/>
      <c r="B66" s="2"/>
      <c r="C66" s="2"/>
      <c r="D66" s="2"/>
      <c r="E66" s="2"/>
      <c r="F66" s="2"/>
      <c r="G66" s="2"/>
      <c r="H66" s="2"/>
    </row>
    <row r="67" ht="15.75" customHeight="1">
      <c r="A67" s="2"/>
      <c r="B67" s="2"/>
      <c r="C67" s="2"/>
      <c r="D67" s="2"/>
      <c r="E67" s="2"/>
      <c r="F67" s="2"/>
      <c r="G67" s="2"/>
      <c r="H67" s="2"/>
    </row>
    <row r="68" ht="15.75" customHeight="1">
      <c r="A68" s="2"/>
      <c r="B68" s="2"/>
      <c r="C68" s="2"/>
      <c r="D68" s="2"/>
      <c r="E68" s="2"/>
      <c r="F68" s="2"/>
      <c r="G68" s="2"/>
      <c r="H68" s="2"/>
    </row>
    <row r="69" ht="15.75" customHeight="1">
      <c r="A69" s="2"/>
      <c r="B69" s="2"/>
      <c r="C69" s="2"/>
      <c r="D69" s="2"/>
      <c r="E69" s="2"/>
      <c r="F69" s="2"/>
      <c r="G69" s="2"/>
      <c r="H69" s="2"/>
    </row>
    <row r="70" ht="15.75" customHeight="1">
      <c r="A70" s="2"/>
      <c r="B70" s="2"/>
      <c r="C70" s="2"/>
      <c r="D70" s="2"/>
      <c r="E70" s="2"/>
      <c r="F70" s="2"/>
      <c r="G70" s="2"/>
      <c r="H70" s="2"/>
    </row>
    <row r="71" ht="15.75" customHeight="1">
      <c r="A71" s="2"/>
      <c r="B71" s="2"/>
      <c r="C71" s="2"/>
      <c r="D71" s="2"/>
      <c r="E71" s="2"/>
      <c r="F71" s="2"/>
      <c r="G71" s="2"/>
      <c r="H71" s="2"/>
    </row>
    <row r="72" ht="15.75" customHeight="1">
      <c r="A72" s="2"/>
      <c r="B72" s="2"/>
      <c r="C72" s="2"/>
      <c r="D72" s="2"/>
      <c r="E72" s="2"/>
      <c r="F72" s="2"/>
      <c r="G72" s="2"/>
      <c r="H72" s="2"/>
    </row>
    <row r="73" ht="15.75" customHeight="1">
      <c r="A73" s="2"/>
      <c r="B73" s="2"/>
      <c r="C73" s="2"/>
      <c r="D73" s="2"/>
      <c r="E73" s="2"/>
      <c r="F73" s="2"/>
      <c r="G73" s="2"/>
      <c r="H73" s="2"/>
    </row>
    <row r="74" ht="15.75" customHeight="1">
      <c r="A74" s="2"/>
      <c r="B74" s="2"/>
      <c r="C74" s="2"/>
      <c r="D74" s="2"/>
      <c r="E74" s="2"/>
      <c r="F74" s="2"/>
      <c r="G74" s="2"/>
      <c r="H74" s="2"/>
    </row>
    <row r="75" ht="15.75" customHeight="1">
      <c r="A75" s="2"/>
      <c r="B75" s="2"/>
      <c r="C75" s="2"/>
      <c r="D75" s="2"/>
      <c r="E75" s="2"/>
      <c r="F75" s="2"/>
      <c r="G75" s="2"/>
      <c r="H75" s="2"/>
    </row>
    <row r="76" ht="15.75" customHeight="1">
      <c r="A76" s="2"/>
      <c r="B76" s="2"/>
      <c r="C76" s="2"/>
      <c r="D76" s="2"/>
      <c r="E76" s="2"/>
      <c r="F76" s="2"/>
      <c r="G76" s="2"/>
      <c r="H76" s="2"/>
    </row>
    <row r="77" ht="15.75" customHeight="1">
      <c r="A77" s="2"/>
      <c r="B77" s="2"/>
      <c r="C77" s="2"/>
      <c r="D77" s="2"/>
      <c r="E77" s="2"/>
      <c r="F77" s="2"/>
      <c r="G77" s="2"/>
      <c r="H77" s="2"/>
    </row>
    <row r="78" ht="15.75" customHeight="1">
      <c r="A78" s="2"/>
      <c r="B78" s="2"/>
      <c r="C78" s="2"/>
      <c r="D78" s="2"/>
      <c r="E78" s="2"/>
      <c r="F78" s="2"/>
      <c r="G78" s="2"/>
      <c r="H78" s="2"/>
    </row>
    <row r="79" ht="15.75" customHeight="1">
      <c r="A79" s="2"/>
      <c r="B79" s="2"/>
      <c r="C79" s="2"/>
      <c r="D79" s="2"/>
      <c r="E79" s="2"/>
      <c r="F79" s="2"/>
      <c r="G79" s="2"/>
      <c r="H79" s="2"/>
    </row>
    <row r="80" ht="15.75" customHeight="1">
      <c r="A80" s="2"/>
      <c r="B80" s="2"/>
      <c r="C80" s="2"/>
      <c r="D80" s="2"/>
      <c r="E80" s="2"/>
      <c r="F80" s="2"/>
      <c r="G80" s="2"/>
      <c r="H80" s="2"/>
    </row>
    <row r="81" ht="15.75" customHeight="1">
      <c r="A81" s="2"/>
      <c r="B81" s="2"/>
      <c r="C81" s="2"/>
      <c r="D81" s="2"/>
      <c r="E81" s="2"/>
      <c r="F81" s="2"/>
      <c r="G81" s="2"/>
      <c r="H81" s="2"/>
    </row>
    <row r="82" ht="15.75" customHeight="1">
      <c r="A82" s="2"/>
      <c r="B82" s="2"/>
      <c r="C82" s="2"/>
      <c r="D82" s="2"/>
      <c r="E82" s="2"/>
      <c r="F82" s="2"/>
      <c r="G82" s="2"/>
      <c r="H82" s="2"/>
    </row>
    <row r="83" ht="15.75" customHeight="1">
      <c r="A83" s="2"/>
      <c r="B83" s="2"/>
      <c r="C83" s="2"/>
      <c r="D83" s="2"/>
      <c r="E83" s="2"/>
      <c r="F83" s="2"/>
      <c r="G83" s="2"/>
      <c r="H83" s="2"/>
    </row>
    <row r="84" ht="15.75" customHeight="1">
      <c r="A84" s="2"/>
      <c r="B84" s="2"/>
      <c r="C84" s="2"/>
      <c r="D84" s="2"/>
      <c r="E84" s="2"/>
      <c r="F84" s="2"/>
      <c r="G84" s="2"/>
      <c r="H84" s="2"/>
    </row>
    <row r="85" ht="15.75" customHeight="1">
      <c r="A85" s="2"/>
      <c r="B85" s="2"/>
      <c r="C85" s="2"/>
      <c r="D85" s="2"/>
      <c r="E85" s="2"/>
      <c r="F85" s="2"/>
      <c r="G85" s="2"/>
      <c r="H85" s="2"/>
    </row>
    <row r="86" ht="15.75" customHeight="1">
      <c r="A86" s="2"/>
      <c r="B86" s="2"/>
      <c r="C86" s="2"/>
      <c r="D86" s="2"/>
      <c r="E86" s="2"/>
      <c r="F86" s="2"/>
      <c r="G86" s="2"/>
      <c r="H86" s="2"/>
    </row>
    <row r="87" ht="15.75" customHeight="1">
      <c r="A87" s="2"/>
      <c r="B87" s="2"/>
      <c r="C87" s="2"/>
      <c r="D87" s="2"/>
      <c r="E87" s="2"/>
      <c r="F87" s="2"/>
      <c r="G87" s="2"/>
      <c r="H87" s="2"/>
    </row>
    <row r="88" ht="15.75" customHeight="1">
      <c r="A88" s="2"/>
      <c r="B88" s="2"/>
      <c r="C88" s="2"/>
      <c r="D88" s="2"/>
      <c r="E88" s="2"/>
      <c r="F88" s="2"/>
      <c r="G88" s="2"/>
      <c r="H88" s="2"/>
    </row>
    <row r="89" ht="15.75" customHeight="1">
      <c r="A89" s="2"/>
      <c r="B89" s="2"/>
      <c r="C89" s="2"/>
      <c r="D89" s="2"/>
      <c r="E89" s="2"/>
      <c r="F89" s="2"/>
      <c r="G89" s="2"/>
      <c r="H89" s="2"/>
    </row>
    <row r="90" ht="15.75" customHeight="1">
      <c r="A90" s="2"/>
      <c r="B90" s="2"/>
      <c r="C90" s="2"/>
      <c r="D90" s="2"/>
      <c r="E90" s="2"/>
      <c r="F90" s="2"/>
      <c r="G90" s="2"/>
      <c r="H90" s="2"/>
    </row>
    <row r="91" ht="15.75" customHeight="1">
      <c r="A91" s="2"/>
      <c r="B91" s="2"/>
      <c r="C91" s="2"/>
      <c r="D91" s="2"/>
      <c r="E91" s="2"/>
      <c r="F91" s="2"/>
      <c r="G91" s="2"/>
      <c r="H91" s="2"/>
    </row>
    <row r="92" ht="15.75" customHeight="1">
      <c r="A92" s="2"/>
      <c r="B92" s="2"/>
      <c r="C92" s="2"/>
      <c r="D92" s="2"/>
      <c r="E92" s="2"/>
      <c r="F92" s="2"/>
      <c r="G92" s="2"/>
      <c r="H92" s="2"/>
    </row>
    <row r="93" ht="15.75" customHeight="1">
      <c r="A93" s="2"/>
      <c r="B93" s="2"/>
      <c r="C93" s="2"/>
      <c r="D93" s="2"/>
      <c r="E93" s="2"/>
      <c r="F93" s="2"/>
      <c r="G93" s="2"/>
      <c r="H93" s="2"/>
    </row>
    <row r="94" ht="15.75" customHeight="1">
      <c r="A94" s="2"/>
      <c r="B94" s="2"/>
      <c r="C94" s="2"/>
      <c r="D94" s="2"/>
      <c r="E94" s="2"/>
      <c r="F94" s="2"/>
      <c r="G94" s="2"/>
      <c r="H94" s="2"/>
    </row>
    <row r="95" ht="15.75" customHeight="1">
      <c r="A95" s="2"/>
      <c r="B95" s="2"/>
      <c r="C95" s="2"/>
      <c r="D95" s="2"/>
      <c r="E95" s="2"/>
      <c r="F95" s="2"/>
      <c r="G95" s="2"/>
      <c r="H95" s="2"/>
    </row>
    <row r="96" ht="15.75" customHeight="1">
      <c r="A96" s="2"/>
      <c r="B96" s="2"/>
      <c r="C96" s="2"/>
      <c r="D96" s="2"/>
      <c r="E96" s="2"/>
      <c r="F96" s="2"/>
      <c r="G96" s="2"/>
      <c r="H96" s="2"/>
    </row>
    <row r="97" ht="15.75" customHeight="1">
      <c r="A97" s="2"/>
      <c r="B97" s="2"/>
      <c r="C97" s="2"/>
      <c r="D97" s="2"/>
      <c r="E97" s="2"/>
      <c r="F97" s="2"/>
      <c r="G97" s="2"/>
      <c r="H97" s="2"/>
    </row>
    <row r="98" ht="15.75" customHeight="1">
      <c r="A98" s="2"/>
      <c r="B98" s="2"/>
      <c r="C98" s="2"/>
      <c r="D98" s="2"/>
      <c r="E98" s="2"/>
      <c r="F98" s="2"/>
      <c r="G98" s="2"/>
      <c r="H98" s="2"/>
    </row>
    <row r="99" ht="15.75" customHeight="1">
      <c r="A99" s="2"/>
      <c r="B99" s="2"/>
      <c r="C99" s="2"/>
      <c r="D99" s="2"/>
      <c r="E99" s="2"/>
      <c r="F99" s="2"/>
      <c r="G99" s="2"/>
      <c r="H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</row>
  </sheetData>
  <printOptions/>
  <pageMargins bottom="1.0" footer="0.0" header="0.0" left="0.75" right="0.75" top="1.0"/>
  <pageSetup orientation="landscape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4.0"/>
    <col customWidth="1" min="3" max="3" width="22.0"/>
    <col customWidth="1" min="4" max="4" width="30.0"/>
    <col customWidth="1" min="5" max="5" width="18.0"/>
    <col customWidth="1" min="6" max="6" width="13.0"/>
    <col customWidth="1" min="7" max="7" width="20.0"/>
    <col customWidth="1" min="8" max="8" width="24.0"/>
  </cols>
  <sheetData>
    <row r="1">
      <c r="A1" s="18" t="s">
        <v>511</v>
      </c>
      <c r="B1" s="2"/>
      <c r="C1" s="2"/>
      <c r="D1" s="2"/>
      <c r="E1" s="2"/>
      <c r="F1" s="2"/>
      <c r="G1" s="2"/>
      <c r="H1" s="2"/>
    </row>
    <row r="2">
      <c r="A2" s="19" t="s">
        <v>512</v>
      </c>
      <c r="B2" s="2"/>
      <c r="C2" s="2"/>
      <c r="D2" s="2"/>
      <c r="E2" s="2"/>
      <c r="F2" s="2"/>
      <c r="G2" s="2"/>
      <c r="H2" s="2"/>
    </row>
    <row r="3">
      <c r="A3" s="2"/>
      <c r="B3" s="2"/>
      <c r="C3" s="2"/>
      <c r="D3" s="2"/>
      <c r="E3" s="2"/>
      <c r="F3" s="2"/>
      <c r="G3" s="2"/>
      <c r="H3" s="2"/>
    </row>
    <row r="4">
      <c r="A4" s="20" t="s">
        <v>81</v>
      </c>
      <c r="B4" s="20" t="s">
        <v>82</v>
      </c>
      <c r="C4" s="20" t="s">
        <v>83</v>
      </c>
      <c r="D4" s="20" t="s">
        <v>84</v>
      </c>
      <c r="E4" s="20" t="s">
        <v>85</v>
      </c>
      <c r="F4" s="20" t="s">
        <v>86</v>
      </c>
      <c r="G4" s="20" t="s">
        <v>87</v>
      </c>
      <c r="H4" s="20" t="s">
        <v>9</v>
      </c>
    </row>
    <row r="5">
      <c r="A5" s="5">
        <v>1.0</v>
      </c>
      <c r="B5" s="5" t="s">
        <v>75</v>
      </c>
      <c r="C5" s="5">
        <v>2200.0</v>
      </c>
      <c r="D5" s="6" t="s">
        <v>513</v>
      </c>
      <c r="E5" s="5" t="str">
        <f>C5</f>
        <v>2200</v>
      </c>
      <c r="F5" s="5" t="str">
        <f t="shared" ref="F5:F8" si="1">14000-E5</f>
        <v>11800</v>
      </c>
      <c r="G5" s="8" t="str">
        <f t="shared" ref="G5:G8" si="2">E5/14000</f>
        <v>15.7%</v>
      </c>
      <c r="H5" s="5" t="str">
        <f t="shared" ref="H5:H8" si="3">IF(G5&gt;=1, "100.0% (Package Over)", TEXT(MIN(G5*100, 99.9), "0.0") &amp; "%")</f>
        <v>15.7%</v>
      </c>
    </row>
    <row r="6">
      <c r="A6" s="5">
        <v>2.0</v>
      </c>
      <c r="B6" s="5" t="s">
        <v>514</v>
      </c>
      <c r="C6" s="5">
        <v>1550.0</v>
      </c>
      <c r="D6" s="6" t="s">
        <v>515</v>
      </c>
      <c r="E6" s="5" t="str">
        <f t="shared" ref="E6:E8" si="4">E5+C6</f>
        <v>3750</v>
      </c>
      <c r="F6" s="5" t="str">
        <f t="shared" si="1"/>
        <v>10250</v>
      </c>
      <c r="G6" s="8" t="str">
        <f t="shared" si="2"/>
        <v>26.8%</v>
      </c>
      <c r="H6" s="5" t="str">
        <f t="shared" si="3"/>
        <v>26.8%</v>
      </c>
    </row>
    <row r="7">
      <c r="A7" s="5">
        <v>3.0</v>
      </c>
      <c r="B7" s="5" t="s">
        <v>514</v>
      </c>
      <c r="C7" s="5">
        <v>950.0</v>
      </c>
      <c r="D7" s="6" t="s">
        <v>516</v>
      </c>
      <c r="E7" s="5" t="str">
        <f t="shared" si="4"/>
        <v>4700</v>
      </c>
      <c r="F7" s="5" t="str">
        <f t="shared" si="1"/>
        <v>9300</v>
      </c>
      <c r="G7" s="8" t="str">
        <f t="shared" si="2"/>
        <v>33.6%</v>
      </c>
      <c r="H7" s="5" t="str">
        <f t="shared" si="3"/>
        <v>33.6%</v>
      </c>
    </row>
    <row r="8">
      <c r="A8" s="5">
        <v>4.0</v>
      </c>
      <c r="B8" s="5" t="s">
        <v>514</v>
      </c>
      <c r="C8" s="5">
        <v>2300.0</v>
      </c>
      <c r="D8" s="6" t="s">
        <v>517</v>
      </c>
      <c r="E8" s="5" t="str">
        <f t="shared" si="4"/>
        <v>7000</v>
      </c>
      <c r="F8" s="5" t="str">
        <f t="shared" si="1"/>
        <v>7000</v>
      </c>
      <c r="G8" s="8" t="str">
        <f t="shared" si="2"/>
        <v>50.0%</v>
      </c>
      <c r="H8" s="5" t="str">
        <f t="shared" si="3"/>
        <v>50.0%</v>
      </c>
    </row>
    <row r="9">
      <c r="A9" s="2"/>
      <c r="B9" s="2"/>
      <c r="C9" s="2"/>
      <c r="D9" s="2"/>
      <c r="E9" s="2"/>
      <c r="F9" s="2"/>
      <c r="G9" s="2"/>
      <c r="H9" s="2"/>
    </row>
    <row r="10">
      <c r="A10" s="2"/>
      <c r="B10" s="2"/>
      <c r="C10" s="2"/>
      <c r="D10" s="2"/>
      <c r="E10" s="2"/>
      <c r="F10" s="2"/>
      <c r="G10" s="2"/>
      <c r="H10" s="2"/>
    </row>
    <row r="11">
      <c r="A11" s="2"/>
      <c r="B11" s="2"/>
      <c r="C11" s="2"/>
      <c r="D11" s="2"/>
      <c r="E11" s="2"/>
      <c r="F11" s="2"/>
      <c r="G11" s="2"/>
      <c r="H11" s="2"/>
    </row>
    <row r="12">
      <c r="A12" s="2"/>
      <c r="B12" s="2"/>
      <c r="C12" s="2"/>
      <c r="D12" s="2"/>
      <c r="E12" s="2"/>
      <c r="F12" s="2"/>
      <c r="G12" s="2"/>
      <c r="H12" s="2"/>
    </row>
    <row r="13">
      <c r="A13" s="2"/>
      <c r="B13" s="2"/>
      <c r="C13" s="2"/>
      <c r="D13" s="2"/>
      <c r="E13" s="2"/>
      <c r="F13" s="2"/>
      <c r="G13" s="2"/>
      <c r="H13" s="2"/>
    </row>
    <row r="14">
      <c r="A14" s="2"/>
      <c r="B14" s="2"/>
      <c r="C14" s="2"/>
      <c r="D14" s="2"/>
      <c r="E14" s="2"/>
      <c r="F14" s="2"/>
      <c r="G14" s="2"/>
      <c r="H14" s="2"/>
    </row>
    <row r="15">
      <c r="A15" s="2"/>
      <c r="B15" s="2"/>
      <c r="C15" s="2"/>
      <c r="D15" s="2"/>
      <c r="E15" s="2"/>
      <c r="F15" s="2"/>
      <c r="G15" s="2"/>
      <c r="H15" s="2"/>
    </row>
    <row r="16">
      <c r="A16" s="2"/>
      <c r="B16" s="2"/>
      <c r="C16" s="2"/>
      <c r="D16" s="2"/>
      <c r="E16" s="2"/>
      <c r="F16" s="2"/>
      <c r="G16" s="2"/>
      <c r="H16" s="2"/>
    </row>
    <row r="17">
      <c r="A17" s="2"/>
      <c r="B17" s="2"/>
      <c r="C17" s="2"/>
      <c r="D17" s="2"/>
      <c r="E17" s="2"/>
      <c r="F17" s="2"/>
      <c r="G17" s="2"/>
      <c r="H17" s="2"/>
    </row>
    <row r="18">
      <c r="A18" s="2"/>
      <c r="B18" s="2"/>
      <c r="C18" s="2"/>
      <c r="D18" s="2"/>
      <c r="E18" s="2"/>
      <c r="F18" s="2"/>
      <c r="G18" s="2"/>
      <c r="H18" s="2"/>
    </row>
    <row r="19">
      <c r="A19" s="2"/>
      <c r="B19" s="2"/>
      <c r="C19" s="2"/>
      <c r="D19" s="2"/>
      <c r="E19" s="2"/>
      <c r="F19" s="2"/>
      <c r="G19" s="2"/>
      <c r="H19" s="2"/>
    </row>
    <row r="20">
      <c r="A20" s="2"/>
      <c r="B20" s="2"/>
      <c r="C20" s="2"/>
      <c r="D20" s="2"/>
      <c r="E20" s="2"/>
      <c r="F20" s="2"/>
      <c r="G20" s="2"/>
      <c r="H20" s="2"/>
    </row>
    <row r="21" ht="15.75" customHeight="1">
      <c r="A21" s="2"/>
      <c r="B21" s="2"/>
      <c r="C21" s="2"/>
      <c r="D21" s="2"/>
      <c r="E21" s="2"/>
      <c r="F21" s="2"/>
      <c r="G21" s="2"/>
      <c r="H21" s="2"/>
    </row>
    <row r="22" ht="15.75" customHeight="1">
      <c r="A22" s="2"/>
      <c r="B22" s="2"/>
      <c r="C22" s="2"/>
      <c r="D22" s="2"/>
      <c r="E22" s="2"/>
      <c r="F22" s="2"/>
      <c r="G22" s="2"/>
      <c r="H22" s="2"/>
    </row>
    <row r="23" ht="15.75" customHeight="1">
      <c r="A23" s="2"/>
      <c r="B23" s="2"/>
      <c r="C23" s="2"/>
      <c r="D23" s="2"/>
      <c r="E23" s="2"/>
      <c r="F23" s="2"/>
      <c r="G23" s="2"/>
      <c r="H23" s="2"/>
    </row>
    <row r="24" ht="15.75" customHeight="1">
      <c r="A24" s="2"/>
      <c r="B24" s="2"/>
      <c r="C24" s="2"/>
      <c r="D24" s="2"/>
      <c r="E24" s="2"/>
      <c r="F24" s="2"/>
      <c r="G24" s="2"/>
      <c r="H24" s="2"/>
    </row>
    <row r="25" ht="15.75" customHeight="1">
      <c r="A25" s="2"/>
      <c r="B25" s="2"/>
      <c r="C25" s="2"/>
      <c r="D25" s="2"/>
      <c r="E25" s="2"/>
      <c r="F25" s="2"/>
      <c r="G25" s="2"/>
      <c r="H25" s="2"/>
    </row>
    <row r="26" ht="15.75" customHeight="1">
      <c r="A26" s="2"/>
      <c r="B26" s="2"/>
      <c r="C26" s="2"/>
      <c r="D26" s="2"/>
      <c r="E26" s="2"/>
      <c r="F26" s="2"/>
      <c r="G26" s="2"/>
      <c r="H26" s="2"/>
    </row>
    <row r="27" ht="15.75" customHeight="1">
      <c r="A27" s="2"/>
      <c r="B27" s="2"/>
      <c r="C27" s="2"/>
      <c r="D27" s="2"/>
      <c r="E27" s="2"/>
      <c r="F27" s="2"/>
      <c r="G27" s="2"/>
      <c r="H27" s="2"/>
    </row>
    <row r="28" ht="15.75" customHeight="1">
      <c r="A28" s="2"/>
      <c r="B28" s="2"/>
      <c r="C28" s="2"/>
      <c r="D28" s="2"/>
      <c r="E28" s="2"/>
      <c r="F28" s="2"/>
      <c r="G28" s="2"/>
      <c r="H28" s="2"/>
    </row>
    <row r="29" ht="15.75" customHeight="1">
      <c r="A29" s="2"/>
      <c r="B29" s="2"/>
      <c r="C29" s="2"/>
      <c r="D29" s="2"/>
      <c r="E29" s="2"/>
      <c r="F29" s="2"/>
      <c r="G29" s="2"/>
      <c r="H29" s="2"/>
    </row>
    <row r="30" ht="15.75" customHeight="1">
      <c r="A30" s="2"/>
      <c r="B30" s="2"/>
      <c r="C30" s="2"/>
      <c r="D30" s="2"/>
      <c r="E30" s="2"/>
      <c r="F30" s="2"/>
      <c r="G30" s="2"/>
      <c r="H30" s="2"/>
    </row>
    <row r="31" ht="15.75" customHeight="1">
      <c r="A31" s="2"/>
      <c r="B31" s="2"/>
      <c r="C31" s="2"/>
      <c r="D31" s="2"/>
      <c r="E31" s="2"/>
      <c r="F31" s="2"/>
      <c r="G31" s="2"/>
      <c r="H31" s="2"/>
    </row>
    <row r="32" ht="15.75" customHeight="1">
      <c r="A32" s="2"/>
      <c r="B32" s="2"/>
      <c r="C32" s="2"/>
      <c r="D32" s="2"/>
      <c r="E32" s="2"/>
      <c r="F32" s="2"/>
      <c r="G32" s="2"/>
      <c r="H32" s="2"/>
    </row>
    <row r="33" ht="15.75" customHeight="1">
      <c r="A33" s="2"/>
      <c r="B33" s="2"/>
      <c r="C33" s="2"/>
      <c r="D33" s="2"/>
      <c r="E33" s="2"/>
      <c r="F33" s="2"/>
      <c r="G33" s="2"/>
      <c r="H33" s="2"/>
    </row>
    <row r="34" ht="15.75" customHeight="1">
      <c r="A34" s="2"/>
      <c r="B34" s="2"/>
      <c r="C34" s="2"/>
      <c r="D34" s="2"/>
      <c r="E34" s="2"/>
      <c r="F34" s="2"/>
      <c r="G34" s="2"/>
      <c r="H34" s="2"/>
    </row>
    <row r="35" ht="15.75" customHeight="1">
      <c r="A35" s="2"/>
      <c r="B35" s="2"/>
      <c r="C35" s="2"/>
      <c r="D35" s="2"/>
      <c r="E35" s="2"/>
      <c r="F35" s="2"/>
      <c r="G35" s="2"/>
      <c r="H35" s="2"/>
    </row>
    <row r="36" ht="15.75" customHeight="1">
      <c r="A36" s="2"/>
      <c r="B36" s="2"/>
      <c r="C36" s="2"/>
      <c r="D36" s="2"/>
      <c r="E36" s="2"/>
      <c r="F36" s="2"/>
      <c r="G36" s="2"/>
      <c r="H36" s="2"/>
    </row>
    <row r="37" ht="15.75" customHeight="1">
      <c r="A37" s="2"/>
      <c r="B37" s="2"/>
      <c r="C37" s="2"/>
      <c r="D37" s="2"/>
      <c r="E37" s="2"/>
      <c r="F37" s="2"/>
      <c r="G37" s="2"/>
      <c r="H37" s="2"/>
    </row>
    <row r="38" ht="15.75" customHeight="1">
      <c r="A38" s="2"/>
      <c r="B38" s="2"/>
      <c r="C38" s="2"/>
      <c r="D38" s="2"/>
      <c r="E38" s="2"/>
      <c r="F38" s="2"/>
      <c r="G38" s="2"/>
      <c r="H38" s="2"/>
    </row>
    <row r="39" ht="15.75" customHeight="1">
      <c r="A39" s="2"/>
      <c r="B39" s="2"/>
      <c r="C39" s="2"/>
      <c r="D39" s="2"/>
      <c r="E39" s="2"/>
      <c r="F39" s="2"/>
      <c r="G39" s="2"/>
      <c r="H39" s="2"/>
    </row>
    <row r="40" ht="15.75" customHeight="1">
      <c r="A40" s="2"/>
      <c r="B40" s="2"/>
      <c r="C40" s="2"/>
      <c r="D40" s="2"/>
      <c r="E40" s="2"/>
      <c r="F40" s="2"/>
      <c r="G40" s="2"/>
      <c r="H40" s="2"/>
    </row>
    <row r="41" ht="15.75" customHeight="1">
      <c r="A41" s="2"/>
      <c r="B41" s="2"/>
      <c r="C41" s="2"/>
      <c r="D41" s="2"/>
      <c r="E41" s="2"/>
      <c r="F41" s="2"/>
      <c r="G41" s="2"/>
      <c r="H41" s="2"/>
    </row>
    <row r="42" ht="15.75" customHeight="1">
      <c r="A42" s="2"/>
      <c r="B42" s="2"/>
      <c r="C42" s="2"/>
      <c r="D42" s="2"/>
      <c r="E42" s="2"/>
      <c r="F42" s="2"/>
      <c r="G42" s="2"/>
      <c r="H42" s="2"/>
    </row>
    <row r="43" ht="15.75" customHeight="1">
      <c r="A43" s="2"/>
      <c r="B43" s="2"/>
      <c r="C43" s="2"/>
      <c r="D43" s="2"/>
      <c r="E43" s="2"/>
      <c r="F43" s="2"/>
      <c r="G43" s="2"/>
      <c r="H43" s="2"/>
    </row>
    <row r="44" ht="15.75" customHeight="1">
      <c r="A44" s="2"/>
      <c r="B44" s="2"/>
      <c r="C44" s="2"/>
      <c r="D44" s="2"/>
      <c r="E44" s="2"/>
      <c r="F44" s="2"/>
      <c r="G44" s="2"/>
      <c r="H44" s="2"/>
    </row>
    <row r="45" ht="15.75" customHeight="1">
      <c r="A45" s="2"/>
      <c r="B45" s="2"/>
      <c r="C45" s="2"/>
      <c r="D45" s="2"/>
      <c r="E45" s="2"/>
      <c r="F45" s="2"/>
      <c r="G45" s="2"/>
      <c r="H45" s="2"/>
    </row>
    <row r="46" ht="15.75" customHeight="1">
      <c r="A46" s="2"/>
      <c r="B46" s="2"/>
      <c r="C46" s="2"/>
      <c r="D46" s="2"/>
      <c r="E46" s="2"/>
      <c r="F46" s="2"/>
      <c r="G46" s="2"/>
      <c r="H46" s="2"/>
    </row>
    <row r="47" ht="15.75" customHeight="1">
      <c r="A47" s="2"/>
      <c r="B47" s="2"/>
      <c r="C47" s="2"/>
      <c r="D47" s="2"/>
      <c r="E47" s="2"/>
      <c r="F47" s="2"/>
      <c r="G47" s="2"/>
      <c r="H47" s="2"/>
    </row>
    <row r="48" ht="15.75" customHeight="1">
      <c r="A48" s="2"/>
      <c r="B48" s="2"/>
      <c r="C48" s="2"/>
      <c r="D48" s="2"/>
      <c r="E48" s="2"/>
      <c r="F48" s="2"/>
      <c r="G48" s="2"/>
      <c r="H48" s="2"/>
    </row>
    <row r="49" ht="15.75" customHeight="1">
      <c r="A49" s="2"/>
      <c r="B49" s="2"/>
      <c r="C49" s="2"/>
      <c r="D49" s="2"/>
      <c r="E49" s="2"/>
      <c r="F49" s="2"/>
      <c r="G49" s="2"/>
      <c r="H49" s="2"/>
    </row>
    <row r="50" ht="15.75" customHeight="1">
      <c r="A50" s="2"/>
      <c r="B50" s="2"/>
      <c r="C50" s="2"/>
      <c r="D50" s="2"/>
      <c r="E50" s="2"/>
      <c r="F50" s="2"/>
      <c r="G50" s="2"/>
      <c r="H50" s="2"/>
    </row>
    <row r="51" ht="15.75" customHeight="1">
      <c r="A51" s="2"/>
      <c r="B51" s="2"/>
      <c r="C51" s="2"/>
      <c r="D51" s="2"/>
      <c r="E51" s="2"/>
      <c r="F51" s="2"/>
      <c r="G51" s="2"/>
      <c r="H51" s="2"/>
    </row>
    <row r="52" ht="15.75" customHeight="1">
      <c r="A52" s="2"/>
      <c r="B52" s="2"/>
      <c r="C52" s="2"/>
      <c r="D52" s="2"/>
      <c r="E52" s="2"/>
      <c r="F52" s="2"/>
      <c r="G52" s="2"/>
      <c r="H52" s="2"/>
    </row>
    <row r="53" ht="15.75" customHeight="1">
      <c r="A53" s="2"/>
      <c r="B53" s="2"/>
      <c r="C53" s="2"/>
      <c r="D53" s="2"/>
      <c r="E53" s="2"/>
      <c r="F53" s="2"/>
      <c r="G53" s="2"/>
      <c r="H53" s="2"/>
    </row>
    <row r="54" ht="15.75" customHeight="1">
      <c r="A54" s="2"/>
      <c r="B54" s="2"/>
      <c r="C54" s="2"/>
      <c r="D54" s="2"/>
      <c r="E54" s="2"/>
      <c r="F54" s="2"/>
      <c r="G54" s="2"/>
      <c r="H54" s="2"/>
    </row>
    <row r="55" ht="15.75" customHeight="1">
      <c r="A55" s="2"/>
      <c r="B55" s="2"/>
      <c r="C55" s="2"/>
      <c r="D55" s="2"/>
      <c r="E55" s="2"/>
      <c r="F55" s="2"/>
      <c r="G55" s="2"/>
      <c r="H55" s="2"/>
    </row>
    <row r="56" ht="15.75" customHeight="1">
      <c r="A56" s="2"/>
      <c r="B56" s="2"/>
      <c r="C56" s="2"/>
      <c r="D56" s="2"/>
      <c r="E56" s="2"/>
      <c r="F56" s="2"/>
      <c r="G56" s="2"/>
      <c r="H56" s="2"/>
    </row>
    <row r="57" ht="15.75" customHeight="1">
      <c r="A57" s="2"/>
      <c r="B57" s="2"/>
      <c r="C57" s="2"/>
      <c r="D57" s="2"/>
      <c r="E57" s="2"/>
      <c r="F57" s="2"/>
      <c r="G57" s="2"/>
      <c r="H57" s="2"/>
    </row>
    <row r="58" ht="15.75" customHeight="1">
      <c r="A58" s="2"/>
      <c r="B58" s="2"/>
      <c r="C58" s="2"/>
      <c r="D58" s="2"/>
      <c r="E58" s="2"/>
      <c r="F58" s="2"/>
      <c r="G58" s="2"/>
      <c r="H58" s="2"/>
    </row>
    <row r="59" ht="15.75" customHeight="1">
      <c r="A59" s="2"/>
      <c r="B59" s="2"/>
      <c r="C59" s="2"/>
      <c r="D59" s="2"/>
      <c r="E59" s="2"/>
      <c r="F59" s="2"/>
      <c r="G59" s="2"/>
      <c r="H59" s="2"/>
    </row>
    <row r="60" ht="15.75" customHeight="1">
      <c r="A60" s="2"/>
      <c r="B60" s="2"/>
      <c r="C60" s="2"/>
      <c r="D60" s="2"/>
      <c r="E60" s="2"/>
      <c r="F60" s="2"/>
      <c r="G60" s="2"/>
      <c r="H60" s="2"/>
    </row>
    <row r="61" ht="15.75" customHeight="1">
      <c r="A61" s="2"/>
      <c r="B61" s="2"/>
      <c r="C61" s="2"/>
      <c r="D61" s="2"/>
      <c r="E61" s="2"/>
      <c r="F61" s="2"/>
      <c r="G61" s="2"/>
      <c r="H61" s="2"/>
    </row>
    <row r="62" ht="15.75" customHeight="1">
      <c r="A62" s="2"/>
      <c r="B62" s="2"/>
      <c r="C62" s="2"/>
      <c r="D62" s="2"/>
      <c r="E62" s="2"/>
      <c r="F62" s="2"/>
      <c r="G62" s="2"/>
      <c r="H62" s="2"/>
    </row>
    <row r="63" ht="15.75" customHeight="1">
      <c r="A63" s="2"/>
      <c r="B63" s="2"/>
      <c r="C63" s="2"/>
      <c r="D63" s="2"/>
      <c r="E63" s="2"/>
      <c r="F63" s="2"/>
      <c r="G63" s="2"/>
      <c r="H63" s="2"/>
    </row>
    <row r="64" ht="15.75" customHeight="1">
      <c r="A64" s="2"/>
      <c r="B64" s="2"/>
      <c r="C64" s="2"/>
      <c r="D64" s="2"/>
      <c r="E64" s="2"/>
      <c r="F64" s="2"/>
      <c r="G64" s="2"/>
      <c r="H64" s="2"/>
    </row>
    <row r="65" ht="15.75" customHeight="1">
      <c r="A65" s="2"/>
      <c r="B65" s="2"/>
      <c r="C65" s="2"/>
      <c r="D65" s="2"/>
      <c r="E65" s="2"/>
      <c r="F65" s="2"/>
      <c r="G65" s="2"/>
      <c r="H65" s="2"/>
    </row>
    <row r="66" ht="15.75" customHeight="1">
      <c r="A66" s="2"/>
      <c r="B66" s="2"/>
      <c r="C66" s="2"/>
      <c r="D66" s="2"/>
      <c r="E66" s="2"/>
      <c r="F66" s="2"/>
      <c r="G66" s="2"/>
      <c r="H66" s="2"/>
    </row>
    <row r="67" ht="15.75" customHeight="1">
      <c r="A67" s="2"/>
      <c r="B67" s="2"/>
      <c r="C67" s="2"/>
      <c r="D67" s="2"/>
      <c r="E67" s="2"/>
      <c r="F67" s="2"/>
      <c r="G67" s="2"/>
      <c r="H67" s="2"/>
    </row>
    <row r="68" ht="15.75" customHeight="1">
      <c r="A68" s="2"/>
      <c r="B68" s="2"/>
      <c r="C68" s="2"/>
      <c r="D68" s="2"/>
      <c r="E68" s="2"/>
      <c r="F68" s="2"/>
      <c r="G68" s="2"/>
      <c r="H68" s="2"/>
    </row>
    <row r="69" ht="15.75" customHeight="1">
      <c r="A69" s="2"/>
      <c r="B69" s="2"/>
      <c r="C69" s="2"/>
      <c r="D69" s="2"/>
      <c r="E69" s="2"/>
      <c r="F69" s="2"/>
      <c r="G69" s="2"/>
      <c r="H69" s="2"/>
    </row>
    <row r="70" ht="15.75" customHeight="1">
      <c r="A70" s="2"/>
      <c r="B70" s="2"/>
      <c r="C70" s="2"/>
      <c r="D70" s="2"/>
      <c r="E70" s="2"/>
      <c r="F70" s="2"/>
      <c r="G70" s="2"/>
      <c r="H70" s="2"/>
    </row>
    <row r="71" ht="15.75" customHeight="1">
      <c r="A71" s="2"/>
      <c r="B71" s="2"/>
      <c r="C71" s="2"/>
      <c r="D71" s="2"/>
      <c r="E71" s="2"/>
      <c r="F71" s="2"/>
      <c r="G71" s="2"/>
      <c r="H71" s="2"/>
    </row>
    <row r="72" ht="15.75" customHeight="1">
      <c r="A72" s="2"/>
      <c r="B72" s="2"/>
      <c r="C72" s="2"/>
      <c r="D72" s="2"/>
      <c r="E72" s="2"/>
      <c r="F72" s="2"/>
      <c r="G72" s="2"/>
      <c r="H72" s="2"/>
    </row>
    <row r="73" ht="15.75" customHeight="1">
      <c r="A73" s="2"/>
      <c r="B73" s="2"/>
      <c r="C73" s="2"/>
      <c r="D73" s="2"/>
      <c r="E73" s="2"/>
      <c r="F73" s="2"/>
      <c r="G73" s="2"/>
      <c r="H73" s="2"/>
    </row>
    <row r="74" ht="15.75" customHeight="1">
      <c r="A74" s="2"/>
      <c r="B74" s="2"/>
      <c r="C74" s="2"/>
      <c r="D74" s="2"/>
      <c r="E74" s="2"/>
      <c r="F74" s="2"/>
      <c r="G74" s="2"/>
      <c r="H74" s="2"/>
    </row>
    <row r="75" ht="15.75" customHeight="1">
      <c r="A75" s="2"/>
      <c r="B75" s="2"/>
      <c r="C75" s="2"/>
      <c r="D75" s="2"/>
      <c r="E75" s="2"/>
      <c r="F75" s="2"/>
      <c r="G75" s="2"/>
      <c r="H75" s="2"/>
    </row>
    <row r="76" ht="15.75" customHeight="1">
      <c r="A76" s="2"/>
      <c r="B76" s="2"/>
      <c r="C76" s="2"/>
      <c r="D76" s="2"/>
      <c r="E76" s="2"/>
      <c r="F76" s="2"/>
      <c r="G76" s="2"/>
      <c r="H76" s="2"/>
    </row>
    <row r="77" ht="15.75" customHeight="1">
      <c r="A77" s="2"/>
      <c r="B77" s="2"/>
      <c r="C77" s="2"/>
      <c r="D77" s="2"/>
      <c r="E77" s="2"/>
      <c r="F77" s="2"/>
      <c r="G77" s="2"/>
      <c r="H77" s="2"/>
    </row>
    <row r="78" ht="15.75" customHeight="1">
      <c r="A78" s="2"/>
      <c r="B78" s="2"/>
      <c r="C78" s="2"/>
      <c r="D78" s="2"/>
      <c r="E78" s="2"/>
      <c r="F78" s="2"/>
      <c r="G78" s="2"/>
      <c r="H78" s="2"/>
    </row>
    <row r="79" ht="15.75" customHeight="1">
      <c r="A79" s="2"/>
      <c r="B79" s="2"/>
      <c r="C79" s="2"/>
      <c r="D79" s="2"/>
      <c r="E79" s="2"/>
      <c r="F79" s="2"/>
      <c r="G79" s="2"/>
      <c r="H79" s="2"/>
    </row>
    <row r="80" ht="15.75" customHeight="1">
      <c r="A80" s="2"/>
      <c r="B80" s="2"/>
      <c r="C80" s="2"/>
      <c r="D80" s="2"/>
      <c r="E80" s="2"/>
      <c r="F80" s="2"/>
      <c r="G80" s="2"/>
      <c r="H80" s="2"/>
    </row>
    <row r="81" ht="15.75" customHeight="1">
      <c r="A81" s="2"/>
      <c r="B81" s="2"/>
      <c r="C81" s="2"/>
      <c r="D81" s="2"/>
      <c r="E81" s="2"/>
      <c r="F81" s="2"/>
      <c r="G81" s="2"/>
      <c r="H81" s="2"/>
    </row>
    <row r="82" ht="15.75" customHeight="1">
      <c r="A82" s="2"/>
      <c r="B82" s="2"/>
      <c r="C82" s="2"/>
      <c r="D82" s="2"/>
      <c r="E82" s="2"/>
      <c r="F82" s="2"/>
      <c r="G82" s="2"/>
      <c r="H82" s="2"/>
    </row>
    <row r="83" ht="15.75" customHeight="1">
      <c r="A83" s="2"/>
      <c r="B83" s="2"/>
      <c r="C83" s="2"/>
      <c r="D83" s="2"/>
      <c r="E83" s="2"/>
      <c r="F83" s="2"/>
      <c r="G83" s="2"/>
      <c r="H83" s="2"/>
    </row>
    <row r="84" ht="15.75" customHeight="1">
      <c r="A84" s="2"/>
      <c r="B84" s="2"/>
      <c r="C84" s="2"/>
      <c r="D84" s="2"/>
      <c r="E84" s="2"/>
      <c r="F84" s="2"/>
      <c r="G84" s="2"/>
      <c r="H84" s="2"/>
    </row>
    <row r="85" ht="15.75" customHeight="1">
      <c r="A85" s="2"/>
      <c r="B85" s="2"/>
      <c r="C85" s="2"/>
      <c r="D85" s="2"/>
      <c r="E85" s="2"/>
      <c r="F85" s="2"/>
      <c r="G85" s="2"/>
      <c r="H85" s="2"/>
    </row>
    <row r="86" ht="15.75" customHeight="1">
      <c r="A86" s="2"/>
      <c r="B86" s="2"/>
      <c r="C86" s="2"/>
      <c r="D86" s="2"/>
      <c r="E86" s="2"/>
      <c r="F86" s="2"/>
      <c r="G86" s="2"/>
      <c r="H86" s="2"/>
    </row>
    <row r="87" ht="15.75" customHeight="1">
      <c r="A87" s="2"/>
      <c r="B87" s="2"/>
      <c r="C87" s="2"/>
      <c r="D87" s="2"/>
      <c r="E87" s="2"/>
      <c r="F87" s="2"/>
      <c r="G87" s="2"/>
      <c r="H87" s="2"/>
    </row>
    <row r="88" ht="15.75" customHeight="1">
      <c r="A88" s="2"/>
      <c r="B88" s="2"/>
      <c r="C88" s="2"/>
      <c r="D88" s="2"/>
      <c r="E88" s="2"/>
      <c r="F88" s="2"/>
      <c r="G88" s="2"/>
      <c r="H88" s="2"/>
    </row>
    <row r="89" ht="15.75" customHeight="1">
      <c r="A89" s="2"/>
      <c r="B89" s="2"/>
      <c r="C89" s="2"/>
      <c r="D89" s="2"/>
      <c r="E89" s="2"/>
      <c r="F89" s="2"/>
      <c r="G89" s="2"/>
      <c r="H89" s="2"/>
    </row>
    <row r="90" ht="15.75" customHeight="1">
      <c r="A90" s="2"/>
      <c r="B90" s="2"/>
      <c r="C90" s="2"/>
      <c r="D90" s="2"/>
      <c r="E90" s="2"/>
      <c r="F90" s="2"/>
      <c r="G90" s="2"/>
      <c r="H90" s="2"/>
    </row>
    <row r="91" ht="15.75" customHeight="1">
      <c r="A91" s="2"/>
      <c r="B91" s="2"/>
      <c r="C91" s="2"/>
      <c r="D91" s="2"/>
      <c r="E91" s="2"/>
      <c r="F91" s="2"/>
      <c r="G91" s="2"/>
      <c r="H91" s="2"/>
    </row>
    <row r="92" ht="15.75" customHeight="1">
      <c r="A92" s="2"/>
      <c r="B92" s="2"/>
      <c r="C92" s="2"/>
      <c r="D92" s="2"/>
      <c r="E92" s="2"/>
      <c r="F92" s="2"/>
      <c r="G92" s="2"/>
      <c r="H92" s="2"/>
    </row>
    <row r="93" ht="15.75" customHeight="1">
      <c r="A93" s="2"/>
      <c r="B93" s="2"/>
      <c r="C93" s="2"/>
      <c r="D93" s="2"/>
      <c r="E93" s="2"/>
      <c r="F93" s="2"/>
      <c r="G93" s="2"/>
      <c r="H93" s="2"/>
    </row>
    <row r="94" ht="15.75" customHeight="1">
      <c r="A94" s="2"/>
      <c r="B94" s="2"/>
      <c r="C94" s="2"/>
      <c r="D94" s="2"/>
      <c r="E94" s="2"/>
      <c r="F94" s="2"/>
      <c r="G94" s="2"/>
      <c r="H94" s="2"/>
    </row>
    <row r="95" ht="15.75" customHeight="1">
      <c r="A95" s="2"/>
      <c r="B95" s="2"/>
      <c r="C95" s="2"/>
      <c r="D95" s="2"/>
      <c r="E95" s="2"/>
      <c r="F95" s="2"/>
      <c r="G95" s="2"/>
      <c r="H95" s="2"/>
    </row>
    <row r="96" ht="15.75" customHeight="1">
      <c r="A96" s="2"/>
      <c r="B96" s="2"/>
      <c r="C96" s="2"/>
      <c r="D96" s="2"/>
      <c r="E96" s="2"/>
      <c r="F96" s="2"/>
      <c r="G96" s="2"/>
      <c r="H96" s="2"/>
    </row>
    <row r="97" ht="15.75" customHeight="1">
      <c r="A97" s="2"/>
      <c r="B97" s="2"/>
      <c r="C97" s="2"/>
      <c r="D97" s="2"/>
      <c r="E97" s="2"/>
      <c r="F97" s="2"/>
      <c r="G97" s="2"/>
      <c r="H97" s="2"/>
    </row>
    <row r="98" ht="15.75" customHeight="1">
      <c r="A98" s="2"/>
      <c r="B98" s="2"/>
      <c r="C98" s="2"/>
      <c r="D98" s="2"/>
      <c r="E98" s="2"/>
      <c r="F98" s="2"/>
      <c r="G98" s="2"/>
      <c r="H98" s="2"/>
    </row>
    <row r="99" ht="15.75" customHeight="1">
      <c r="A99" s="2"/>
      <c r="B99" s="2"/>
      <c r="C99" s="2"/>
      <c r="D99" s="2"/>
      <c r="E99" s="2"/>
      <c r="F99" s="2"/>
      <c r="G99" s="2"/>
      <c r="H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</row>
  </sheetData>
  <printOptions/>
  <pageMargins bottom="1.0" footer="0.0" header="0.0" left="0.75" right="0.75" top="1.0"/>
  <pageSetup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4.0"/>
    <col customWidth="1" min="3" max="3" width="22.0"/>
    <col customWidth="1" min="4" max="4" width="30.0"/>
    <col customWidth="1" min="5" max="5" width="18.0"/>
    <col customWidth="1" min="6" max="6" width="13.0"/>
    <col customWidth="1" min="7" max="7" width="20.0"/>
    <col customWidth="1" min="8" max="8" width="24.0"/>
  </cols>
  <sheetData>
    <row r="1">
      <c r="A1" s="18" t="s">
        <v>518</v>
      </c>
      <c r="B1" s="2"/>
      <c r="C1" s="2"/>
      <c r="D1" s="2"/>
      <c r="E1" s="2"/>
      <c r="F1" s="2"/>
      <c r="G1" s="2"/>
      <c r="H1" s="2"/>
    </row>
    <row r="2">
      <c r="A2" s="19" t="s">
        <v>519</v>
      </c>
      <c r="B2" s="2"/>
      <c r="C2" s="2"/>
      <c r="D2" s="2"/>
      <c r="E2" s="2"/>
      <c r="F2" s="2"/>
      <c r="G2" s="2"/>
      <c r="H2" s="2"/>
    </row>
    <row r="3">
      <c r="A3" s="2"/>
      <c r="B3" s="2"/>
      <c r="C3" s="2"/>
      <c r="D3" s="2"/>
      <c r="E3" s="2"/>
      <c r="F3" s="2"/>
      <c r="G3" s="2"/>
      <c r="H3" s="2"/>
    </row>
    <row r="4">
      <c r="A4" s="20" t="s">
        <v>81</v>
      </c>
      <c r="B4" s="20" t="s">
        <v>82</v>
      </c>
      <c r="C4" s="20" t="s">
        <v>83</v>
      </c>
      <c r="D4" s="20" t="s">
        <v>84</v>
      </c>
      <c r="E4" s="20" t="s">
        <v>85</v>
      </c>
      <c r="F4" s="20" t="s">
        <v>86</v>
      </c>
      <c r="G4" s="20" t="s">
        <v>87</v>
      </c>
      <c r="H4" s="20" t="s">
        <v>9</v>
      </c>
    </row>
    <row r="5">
      <c r="A5" s="5">
        <v>1.0</v>
      </c>
      <c r="B5" s="5" t="s">
        <v>77</v>
      </c>
      <c r="C5" s="5">
        <v>90.0</v>
      </c>
      <c r="D5" s="6" t="s">
        <v>520</v>
      </c>
      <c r="E5" s="5" t="str">
        <f>C5</f>
        <v>90</v>
      </c>
      <c r="F5" s="5" t="str">
        <f t="shared" ref="F5:F19" si="1">960-E5</f>
        <v>870</v>
      </c>
      <c r="G5" s="8" t="str">
        <f t="shared" ref="G5:G19" si="2">E5/960</f>
        <v>9.4%</v>
      </c>
      <c r="H5" s="5" t="str">
        <f t="shared" ref="H5:H19" si="3">IF(G5&gt;=1, "100.0% (Package Over)", TEXT(MIN(G5*100, 99.9), "0.0") &amp; "%")</f>
        <v>9.4%</v>
      </c>
    </row>
    <row r="6">
      <c r="A6" s="5">
        <v>2.0</v>
      </c>
      <c r="B6" s="5" t="s">
        <v>247</v>
      </c>
      <c r="C6" s="5">
        <v>90.0</v>
      </c>
      <c r="D6" s="6" t="s">
        <v>520</v>
      </c>
      <c r="E6" s="5" t="str">
        <f t="shared" ref="E6:E19" si="4">E5+C6</f>
        <v>180</v>
      </c>
      <c r="F6" s="5" t="str">
        <f t="shared" si="1"/>
        <v>780</v>
      </c>
      <c r="G6" s="8" t="str">
        <f t="shared" si="2"/>
        <v>18.8%</v>
      </c>
      <c r="H6" s="5" t="str">
        <f t="shared" si="3"/>
        <v>18.8%</v>
      </c>
    </row>
    <row r="7">
      <c r="A7" s="5">
        <v>3.0</v>
      </c>
      <c r="B7" s="5" t="s">
        <v>521</v>
      </c>
      <c r="C7" s="5">
        <v>60.0</v>
      </c>
      <c r="D7" s="6" t="s">
        <v>522</v>
      </c>
      <c r="E7" s="5" t="str">
        <f t="shared" si="4"/>
        <v>240</v>
      </c>
      <c r="F7" s="5" t="str">
        <f t="shared" si="1"/>
        <v>720</v>
      </c>
      <c r="G7" s="8" t="str">
        <f t="shared" si="2"/>
        <v>25.0%</v>
      </c>
      <c r="H7" s="5" t="str">
        <f t="shared" si="3"/>
        <v>25.0%</v>
      </c>
    </row>
    <row r="8">
      <c r="A8" s="5">
        <v>4.0</v>
      </c>
      <c r="B8" s="5" t="s">
        <v>251</v>
      </c>
      <c r="C8" s="5">
        <v>60.0</v>
      </c>
      <c r="D8" s="6" t="s">
        <v>522</v>
      </c>
      <c r="E8" s="5" t="str">
        <f t="shared" si="4"/>
        <v>300</v>
      </c>
      <c r="F8" s="5" t="str">
        <f t="shared" si="1"/>
        <v>660</v>
      </c>
      <c r="G8" s="8" t="str">
        <f t="shared" si="2"/>
        <v>31.3%</v>
      </c>
      <c r="H8" s="5" t="str">
        <f t="shared" si="3"/>
        <v>31.3%</v>
      </c>
    </row>
    <row r="9">
      <c r="A9" s="5">
        <v>5.0</v>
      </c>
      <c r="B9" s="5" t="s">
        <v>251</v>
      </c>
      <c r="C9" s="5">
        <v>60.0</v>
      </c>
      <c r="D9" s="6" t="s">
        <v>523</v>
      </c>
      <c r="E9" s="5" t="str">
        <f t="shared" si="4"/>
        <v>360</v>
      </c>
      <c r="F9" s="5" t="str">
        <f t="shared" si="1"/>
        <v>600</v>
      </c>
      <c r="G9" s="8" t="str">
        <f t="shared" si="2"/>
        <v>37.5%</v>
      </c>
      <c r="H9" s="5" t="str">
        <f t="shared" si="3"/>
        <v>37.5%</v>
      </c>
    </row>
    <row r="10">
      <c r="A10" s="5">
        <v>6.0</v>
      </c>
      <c r="B10" s="5" t="s">
        <v>232</v>
      </c>
      <c r="C10" s="5">
        <v>60.0</v>
      </c>
      <c r="D10" s="6" t="s">
        <v>524</v>
      </c>
      <c r="E10" s="5" t="str">
        <f t="shared" si="4"/>
        <v>420</v>
      </c>
      <c r="F10" s="5" t="str">
        <f t="shared" si="1"/>
        <v>540</v>
      </c>
      <c r="G10" s="8" t="str">
        <f t="shared" si="2"/>
        <v>43.8%</v>
      </c>
      <c r="H10" s="5" t="str">
        <f t="shared" si="3"/>
        <v>43.8%</v>
      </c>
    </row>
    <row r="11">
      <c r="A11" s="5">
        <v>7.0</v>
      </c>
      <c r="B11" s="5" t="s">
        <v>232</v>
      </c>
      <c r="C11" s="5">
        <v>60.0</v>
      </c>
      <c r="D11" s="6" t="s">
        <v>525</v>
      </c>
      <c r="E11" s="5" t="str">
        <f t="shared" si="4"/>
        <v>480</v>
      </c>
      <c r="F11" s="5" t="str">
        <f t="shared" si="1"/>
        <v>480</v>
      </c>
      <c r="G11" s="8" t="str">
        <f t="shared" si="2"/>
        <v>50.0%</v>
      </c>
      <c r="H11" s="5" t="str">
        <f t="shared" si="3"/>
        <v>50.0%</v>
      </c>
    </row>
    <row r="12">
      <c r="A12" s="5">
        <v>8.0</v>
      </c>
      <c r="B12" s="5" t="s">
        <v>526</v>
      </c>
      <c r="C12" s="5">
        <v>60.0</v>
      </c>
      <c r="D12" s="6" t="s">
        <v>524</v>
      </c>
      <c r="E12" s="5" t="str">
        <f t="shared" si="4"/>
        <v>540</v>
      </c>
      <c r="F12" s="5" t="str">
        <f t="shared" si="1"/>
        <v>420</v>
      </c>
      <c r="G12" s="8" t="str">
        <f t="shared" si="2"/>
        <v>56.3%</v>
      </c>
      <c r="H12" s="5" t="str">
        <f t="shared" si="3"/>
        <v>56.3%</v>
      </c>
    </row>
    <row r="13">
      <c r="A13" s="5">
        <v>9.0</v>
      </c>
      <c r="B13" s="5" t="s">
        <v>319</v>
      </c>
      <c r="C13" s="5">
        <v>60.0</v>
      </c>
      <c r="D13" s="6" t="s">
        <v>524</v>
      </c>
      <c r="E13" s="5" t="str">
        <f t="shared" si="4"/>
        <v>600</v>
      </c>
      <c r="F13" s="5" t="str">
        <f t="shared" si="1"/>
        <v>360</v>
      </c>
      <c r="G13" s="8" t="str">
        <f t="shared" si="2"/>
        <v>62.5%</v>
      </c>
      <c r="H13" s="5" t="str">
        <f t="shared" si="3"/>
        <v>62.5%</v>
      </c>
    </row>
    <row r="14">
      <c r="A14" s="5">
        <v>10.0</v>
      </c>
      <c r="B14" s="5" t="s">
        <v>319</v>
      </c>
      <c r="C14" s="5">
        <v>60.0</v>
      </c>
      <c r="D14" s="6" t="s">
        <v>527</v>
      </c>
      <c r="E14" s="5" t="str">
        <f t="shared" si="4"/>
        <v>660</v>
      </c>
      <c r="F14" s="5" t="str">
        <f t="shared" si="1"/>
        <v>300</v>
      </c>
      <c r="G14" s="8" t="str">
        <f t="shared" si="2"/>
        <v>68.8%</v>
      </c>
      <c r="H14" s="5" t="str">
        <f t="shared" si="3"/>
        <v>68.8%</v>
      </c>
    </row>
    <row r="15">
      <c r="A15" s="5">
        <v>11.0</v>
      </c>
      <c r="B15" s="5" t="s">
        <v>528</v>
      </c>
      <c r="C15" s="5">
        <v>60.0</v>
      </c>
      <c r="D15" s="6" t="s">
        <v>529</v>
      </c>
      <c r="E15" s="5" t="str">
        <f t="shared" si="4"/>
        <v>720</v>
      </c>
      <c r="F15" s="5" t="str">
        <f t="shared" si="1"/>
        <v>240</v>
      </c>
      <c r="G15" s="8" t="str">
        <f t="shared" si="2"/>
        <v>75.0%</v>
      </c>
      <c r="H15" s="5" t="str">
        <f t="shared" si="3"/>
        <v>75.0%</v>
      </c>
    </row>
    <row r="16">
      <c r="A16" s="5">
        <v>12.0</v>
      </c>
      <c r="B16" s="5" t="s">
        <v>167</v>
      </c>
      <c r="C16" s="5">
        <v>60.0</v>
      </c>
      <c r="D16" s="6" t="s">
        <v>530</v>
      </c>
      <c r="E16" s="5" t="str">
        <f t="shared" si="4"/>
        <v>780</v>
      </c>
      <c r="F16" s="5" t="str">
        <f t="shared" si="1"/>
        <v>180</v>
      </c>
      <c r="G16" s="8" t="str">
        <f t="shared" si="2"/>
        <v>81.3%</v>
      </c>
      <c r="H16" s="5" t="str">
        <f t="shared" si="3"/>
        <v>81.3%</v>
      </c>
    </row>
    <row r="17">
      <c r="A17" s="5">
        <v>13.0</v>
      </c>
      <c r="B17" s="5" t="s">
        <v>167</v>
      </c>
      <c r="C17" s="5">
        <v>60.0</v>
      </c>
      <c r="D17" s="6" t="s">
        <v>531</v>
      </c>
      <c r="E17" s="5" t="str">
        <f t="shared" si="4"/>
        <v>840</v>
      </c>
      <c r="F17" s="5" t="str">
        <f t="shared" si="1"/>
        <v>120</v>
      </c>
      <c r="G17" s="8" t="str">
        <f t="shared" si="2"/>
        <v>87.5%</v>
      </c>
      <c r="H17" s="5" t="str">
        <f t="shared" si="3"/>
        <v>87.5%</v>
      </c>
    </row>
    <row r="18">
      <c r="A18" s="5">
        <v>14.0</v>
      </c>
      <c r="B18" s="5" t="s">
        <v>168</v>
      </c>
      <c r="C18" s="5">
        <v>60.0</v>
      </c>
      <c r="D18" s="6" t="s">
        <v>529</v>
      </c>
      <c r="E18" s="5" t="str">
        <f t="shared" si="4"/>
        <v>900</v>
      </c>
      <c r="F18" s="5" t="str">
        <f t="shared" si="1"/>
        <v>60</v>
      </c>
      <c r="G18" s="8" t="str">
        <f t="shared" si="2"/>
        <v>93.8%</v>
      </c>
      <c r="H18" s="5" t="str">
        <f t="shared" si="3"/>
        <v>93.8%</v>
      </c>
    </row>
    <row r="19">
      <c r="A19" s="5">
        <v>15.0</v>
      </c>
      <c r="B19" s="5" t="s">
        <v>532</v>
      </c>
      <c r="C19" s="5">
        <v>30.0</v>
      </c>
      <c r="D19" s="6" t="s">
        <v>527</v>
      </c>
      <c r="E19" s="5" t="str">
        <f t="shared" si="4"/>
        <v>930</v>
      </c>
      <c r="F19" s="5" t="str">
        <f t="shared" si="1"/>
        <v>30</v>
      </c>
      <c r="G19" s="8" t="str">
        <f t="shared" si="2"/>
        <v>96.9%</v>
      </c>
      <c r="H19" s="5" t="str">
        <f t="shared" si="3"/>
        <v>96.9%</v>
      </c>
    </row>
    <row r="20">
      <c r="A20" s="2"/>
      <c r="B20" s="2"/>
      <c r="C20" s="2"/>
      <c r="D20" s="2"/>
      <c r="E20" s="2"/>
      <c r="F20" s="2"/>
      <c r="G20" s="2"/>
      <c r="H20" s="2"/>
    </row>
    <row r="21" ht="15.75" customHeight="1">
      <c r="A21" s="2"/>
      <c r="B21" s="2"/>
      <c r="C21" s="2"/>
      <c r="D21" s="2"/>
      <c r="E21" s="2"/>
      <c r="F21" s="2"/>
      <c r="G21" s="2"/>
      <c r="H21" s="2"/>
    </row>
    <row r="22" ht="15.75" customHeight="1">
      <c r="A22" s="2"/>
      <c r="B22" s="2"/>
      <c r="C22" s="2"/>
      <c r="D22" s="2"/>
      <c r="E22" s="2"/>
      <c r="F22" s="2"/>
      <c r="G22" s="2"/>
      <c r="H22" s="2"/>
    </row>
    <row r="23" ht="15.75" customHeight="1">
      <c r="A23" s="2"/>
      <c r="B23" s="2"/>
      <c r="C23" s="2"/>
      <c r="D23" s="2"/>
      <c r="E23" s="2"/>
      <c r="F23" s="2"/>
      <c r="G23" s="2"/>
      <c r="H23" s="2"/>
    </row>
    <row r="24" ht="15.75" customHeight="1">
      <c r="A24" s="2"/>
      <c r="B24" s="2"/>
      <c r="C24" s="2"/>
      <c r="D24" s="2"/>
      <c r="E24" s="2"/>
      <c r="F24" s="2"/>
      <c r="G24" s="2"/>
      <c r="H24" s="2"/>
    </row>
    <row r="25" ht="15.75" customHeight="1">
      <c r="A25" s="2"/>
      <c r="B25" s="2"/>
      <c r="C25" s="2"/>
      <c r="D25" s="2"/>
      <c r="E25" s="2"/>
      <c r="F25" s="2"/>
      <c r="G25" s="2"/>
      <c r="H25" s="2"/>
    </row>
    <row r="26" ht="15.75" customHeight="1">
      <c r="A26" s="2"/>
      <c r="B26" s="2"/>
      <c r="C26" s="2"/>
      <c r="D26" s="2"/>
      <c r="E26" s="2"/>
      <c r="F26" s="2"/>
      <c r="G26" s="2"/>
      <c r="H26" s="2"/>
    </row>
    <row r="27" ht="15.75" customHeight="1">
      <c r="A27" s="2"/>
      <c r="B27" s="2"/>
      <c r="C27" s="2"/>
      <c r="D27" s="2"/>
      <c r="E27" s="2"/>
      <c r="F27" s="2"/>
      <c r="G27" s="2"/>
      <c r="H27" s="2"/>
    </row>
    <row r="28" ht="15.75" customHeight="1">
      <c r="A28" s="2"/>
      <c r="B28" s="2"/>
      <c r="C28" s="2"/>
      <c r="D28" s="2"/>
      <c r="E28" s="2"/>
      <c r="F28" s="2"/>
      <c r="G28" s="2"/>
      <c r="H28" s="2"/>
    </row>
    <row r="29" ht="15.75" customHeight="1">
      <c r="A29" s="2"/>
      <c r="B29" s="2"/>
      <c r="C29" s="2"/>
      <c r="D29" s="2"/>
      <c r="E29" s="2"/>
      <c r="F29" s="2"/>
      <c r="G29" s="2"/>
      <c r="H29" s="2"/>
    </row>
    <row r="30" ht="15.75" customHeight="1">
      <c r="A30" s="2"/>
      <c r="B30" s="2"/>
      <c r="C30" s="2"/>
      <c r="D30" s="2"/>
      <c r="E30" s="2"/>
      <c r="F30" s="2"/>
      <c r="G30" s="2"/>
      <c r="H30" s="2"/>
    </row>
    <row r="31" ht="15.75" customHeight="1">
      <c r="A31" s="2"/>
      <c r="B31" s="2"/>
      <c r="C31" s="2"/>
      <c r="D31" s="2"/>
      <c r="E31" s="2"/>
      <c r="F31" s="2"/>
      <c r="G31" s="2"/>
      <c r="H31" s="2"/>
    </row>
    <row r="32" ht="15.75" customHeight="1">
      <c r="A32" s="2"/>
      <c r="B32" s="2"/>
      <c r="C32" s="2"/>
      <c r="D32" s="2"/>
      <c r="E32" s="2"/>
      <c r="F32" s="2"/>
      <c r="G32" s="2"/>
      <c r="H32" s="2"/>
    </row>
    <row r="33" ht="15.75" customHeight="1">
      <c r="A33" s="2"/>
      <c r="B33" s="2"/>
      <c r="C33" s="2"/>
      <c r="D33" s="2"/>
      <c r="E33" s="2"/>
      <c r="F33" s="2"/>
      <c r="G33" s="2"/>
      <c r="H33" s="2"/>
    </row>
    <row r="34" ht="15.75" customHeight="1">
      <c r="A34" s="2"/>
      <c r="B34" s="2"/>
      <c r="C34" s="2"/>
      <c r="D34" s="2"/>
      <c r="E34" s="2"/>
      <c r="F34" s="2"/>
      <c r="G34" s="2"/>
      <c r="H34" s="2"/>
    </row>
    <row r="35" ht="15.75" customHeight="1">
      <c r="A35" s="2"/>
      <c r="B35" s="2"/>
      <c r="C35" s="2"/>
      <c r="D35" s="2"/>
      <c r="E35" s="2"/>
      <c r="F35" s="2"/>
      <c r="G35" s="2"/>
      <c r="H35" s="2"/>
    </row>
    <row r="36" ht="15.75" customHeight="1">
      <c r="A36" s="2"/>
      <c r="B36" s="2"/>
      <c r="C36" s="2"/>
      <c r="D36" s="2"/>
      <c r="E36" s="2"/>
      <c r="F36" s="2"/>
      <c r="G36" s="2"/>
      <c r="H36" s="2"/>
    </row>
    <row r="37" ht="15.75" customHeight="1">
      <c r="A37" s="2"/>
      <c r="B37" s="2"/>
      <c r="C37" s="2"/>
      <c r="D37" s="2"/>
      <c r="E37" s="2"/>
      <c r="F37" s="2"/>
      <c r="G37" s="2"/>
      <c r="H37" s="2"/>
    </row>
    <row r="38" ht="15.75" customHeight="1">
      <c r="A38" s="2"/>
      <c r="B38" s="2"/>
      <c r="C38" s="2"/>
      <c r="D38" s="2"/>
      <c r="E38" s="2"/>
      <c r="F38" s="2"/>
      <c r="G38" s="2"/>
      <c r="H38" s="2"/>
    </row>
    <row r="39" ht="15.75" customHeight="1">
      <c r="A39" s="2"/>
      <c r="B39" s="2"/>
      <c r="C39" s="2"/>
      <c r="D39" s="2"/>
      <c r="E39" s="2"/>
      <c r="F39" s="2"/>
      <c r="G39" s="2"/>
      <c r="H39" s="2"/>
    </row>
    <row r="40" ht="15.75" customHeight="1">
      <c r="A40" s="2"/>
      <c r="B40" s="2"/>
      <c r="C40" s="2"/>
      <c r="D40" s="2"/>
      <c r="E40" s="2"/>
      <c r="F40" s="2"/>
      <c r="G40" s="2"/>
      <c r="H40" s="2"/>
    </row>
    <row r="41" ht="15.75" customHeight="1">
      <c r="A41" s="2"/>
      <c r="B41" s="2"/>
      <c r="C41" s="2"/>
      <c r="D41" s="2"/>
      <c r="E41" s="2"/>
      <c r="F41" s="2"/>
      <c r="G41" s="2"/>
      <c r="H41" s="2"/>
    </row>
    <row r="42" ht="15.75" customHeight="1">
      <c r="A42" s="2"/>
      <c r="B42" s="2"/>
      <c r="C42" s="2"/>
      <c r="D42" s="2"/>
      <c r="E42" s="2"/>
      <c r="F42" s="2"/>
      <c r="G42" s="2"/>
      <c r="H42" s="2"/>
    </row>
    <row r="43" ht="15.75" customHeight="1">
      <c r="A43" s="2"/>
      <c r="B43" s="2"/>
      <c r="C43" s="2"/>
      <c r="D43" s="2"/>
      <c r="E43" s="2"/>
      <c r="F43" s="2"/>
      <c r="G43" s="2"/>
      <c r="H43" s="2"/>
    </row>
    <row r="44" ht="15.75" customHeight="1">
      <c r="A44" s="2"/>
      <c r="B44" s="2"/>
      <c r="C44" s="2"/>
      <c r="D44" s="2"/>
      <c r="E44" s="2"/>
      <c r="F44" s="2"/>
      <c r="G44" s="2"/>
      <c r="H44" s="2"/>
    </row>
    <row r="45" ht="15.75" customHeight="1">
      <c r="A45" s="2"/>
      <c r="B45" s="2"/>
      <c r="C45" s="2"/>
      <c r="D45" s="2"/>
      <c r="E45" s="2"/>
      <c r="F45" s="2"/>
      <c r="G45" s="2"/>
      <c r="H45" s="2"/>
    </row>
    <row r="46" ht="15.75" customHeight="1">
      <c r="A46" s="2"/>
      <c r="B46" s="2"/>
      <c r="C46" s="2"/>
      <c r="D46" s="2"/>
      <c r="E46" s="2"/>
      <c r="F46" s="2"/>
      <c r="G46" s="2"/>
      <c r="H46" s="2"/>
    </row>
    <row r="47" ht="15.75" customHeight="1">
      <c r="A47" s="2"/>
      <c r="B47" s="2"/>
      <c r="C47" s="2"/>
      <c r="D47" s="2"/>
      <c r="E47" s="2"/>
      <c r="F47" s="2"/>
      <c r="G47" s="2"/>
      <c r="H47" s="2"/>
    </row>
    <row r="48" ht="15.75" customHeight="1">
      <c r="A48" s="2"/>
      <c r="B48" s="2"/>
      <c r="C48" s="2"/>
      <c r="D48" s="2"/>
      <c r="E48" s="2"/>
      <c r="F48" s="2"/>
      <c r="G48" s="2"/>
      <c r="H48" s="2"/>
    </row>
    <row r="49" ht="15.75" customHeight="1">
      <c r="A49" s="2"/>
      <c r="B49" s="2"/>
      <c r="C49" s="2"/>
      <c r="D49" s="2"/>
      <c r="E49" s="2"/>
      <c r="F49" s="2"/>
      <c r="G49" s="2"/>
      <c r="H49" s="2"/>
    </row>
    <row r="50" ht="15.75" customHeight="1">
      <c r="A50" s="2"/>
      <c r="B50" s="2"/>
      <c r="C50" s="2"/>
      <c r="D50" s="2"/>
      <c r="E50" s="2"/>
      <c r="F50" s="2"/>
      <c r="G50" s="2"/>
      <c r="H50" s="2"/>
    </row>
    <row r="51" ht="15.75" customHeight="1">
      <c r="A51" s="2"/>
      <c r="B51" s="2"/>
      <c r="C51" s="2"/>
      <c r="D51" s="2"/>
      <c r="E51" s="2"/>
      <c r="F51" s="2"/>
      <c r="G51" s="2"/>
      <c r="H51" s="2"/>
    </row>
    <row r="52" ht="15.75" customHeight="1">
      <c r="A52" s="2"/>
      <c r="B52" s="2"/>
      <c r="C52" s="2"/>
      <c r="D52" s="2"/>
      <c r="E52" s="2"/>
      <c r="F52" s="2"/>
      <c r="G52" s="2"/>
      <c r="H52" s="2"/>
    </row>
    <row r="53" ht="15.75" customHeight="1">
      <c r="A53" s="2"/>
      <c r="B53" s="2"/>
      <c r="C53" s="2"/>
      <c r="D53" s="2"/>
      <c r="E53" s="2"/>
      <c r="F53" s="2"/>
      <c r="G53" s="2"/>
      <c r="H53" s="2"/>
    </row>
    <row r="54" ht="15.75" customHeight="1">
      <c r="A54" s="2"/>
      <c r="B54" s="2"/>
      <c r="C54" s="2"/>
      <c r="D54" s="2"/>
      <c r="E54" s="2"/>
      <c r="F54" s="2"/>
      <c r="G54" s="2"/>
      <c r="H54" s="2"/>
    </row>
    <row r="55" ht="15.75" customHeight="1">
      <c r="A55" s="2"/>
      <c r="B55" s="2"/>
      <c r="C55" s="2"/>
      <c r="D55" s="2"/>
      <c r="E55" s="2"/>
      <c r="F55" s="2"/>
      <c r="G55" s="2"/>
      <c r="H55" s="2"/>
    </row>
    <row r="56" ht="15.75" customHeight="1">
      <c r="A56" s="2"/>
      <c r="B56" s="2"/>
      <c r="C56" s="2"/>
      <c r="D56" s="2"/>
      <c r="E56" s="2"/>
      <c r="F56" s="2"/>
      <c r="G56" s="2"/>
      <c r="H56" s="2"/>
    </row>
    <row r="57" ht="15.75" customHeight="1">
      <c r="A57" s="2"/>
      <c r="B57" s="2"/>
      <c r="C57" s="2"/>
      <c r="D57" s="2"/>
      <c r="E57" s="2"/>
      <c r="F57" s="2"/>
      <c r="G57" s="2"/>
      <c r="H57" s="2"/>
    </row>
    <row r="58" ht="15.75" customHeight="1">
      <c r="A58" s="2"/>
      <c r="B58" s="2"/>
      <c r="C58" s="2"/>
      <c r="D58" s="2"/>
      <c r="E58" s="2"/>
      <c r="F58" s="2"/>
      <c r="G58" s="2"/>
      <c r="H58" s="2"/>
    </row>
    <row r="59" ht="15.75" customHeight="1">
      <c r="A59" s="2"/>
      <c r="B59" s="2"/>
      <c r="C59" s="2"/>
      <c r="D59" s="2"/>
      <c r="E59" s="2"/>
      <c r="F59" s="2"/>
      <c r="G59" s="2"/>
      <c r="H59" s="2"/>
    </row>
    <row r="60" ht="15.75" customHeight="1">
      <c r="A60" s="2"/>
      <c r="B60" s="2"/>
      <c r="C60" s="2"/>
      <c r="D60" s="2"/>
      <c r="E60" s="2"/>
      <c r="F60" s="2"/>
      <c r="G60" s="2"/>
      <c r="H60" s="2"/>
    </row>
    <row r="61" ht="15.75" customHeight="1">
      <c r="A61" s="2"/>
      <c r="B61" s="2"/>
      <c r="C61" s="2"/>
      <c r="D61" s="2"/>
      <c r="E61" s="2"/>
      <c r="F61" s="2"/>
      <c r="G61" s="2"/>
      <c r="H61" s="2"/>
    </row>
    <row r="62" ht="15.75" customHeight="1">
      <c r="A62" s="2"/>
      <c r="B62" s="2"/>
      <c r="C62" s="2"/>
      <c r="D62" s="2"/>
      <c r="E62" s="2"/>
      <c r="F62" s="2"/>
      <c r="G62" s="2"/>
      <c r="H62" s="2"/>
    </row>
    <row r="63" ht="15.75" customHeight="1">
      <c r="A63" s="2"/>
      <c r="B63" s="2"/>
      <c r="C63" s="2"/>
      <c r="D63" s="2"/>
      <c r="E63" s="2"/>
      <c r="F63" s="2"/>
      <c r="G63" s="2"/>
      <c r="H63" s="2"/>
    </row>
    <row r="64" ht="15.75" customHeight="1">
      <c r="A64" s="2"/>
      <c r="B64" s="2"/>
      <c r="C64" s="2"/>
      <c r="D64" s="2"/>
      <c r="E64" s="2"/>
      <c r="F64" s="2"/>
      <c r="G64" s="2"/>
      <c r="H64" s="2"/>
    </row>
    <row r="65" ht="15.75" customHeight="1">
      <c r="A65" s="2"/>
      <c r="B65" s="2"/>
      <c r="C65" s="2"/>
      <c r="D65" s="2"/>
      <c r="E65" s="2"/>
      <c r="F65" s="2"/>
      <c r="G65" s="2"/>
      <c r="H65" s="2"/>
    </row>
    <row r="66" ht="15.75" customHeight="1">
      <c r="A66" s="2"/>
      <c r="B66" s="2"/>
      <c r="C66" s="2"/>
      <c r="D66" s="2"/>
      <c r="E66" s="2"/>
      <c r="F66" s="2"/>
      <c r="G66" s="2"/>
      <c r="H66" s="2"/>
    </row>
    <row r="67" ht="15.75" customHeight="1">
      <c r="A67" s="2"/>
      <c r="B67" s="2"/>
      <c r="C67" s="2"/>
      <c r="D67" s="2"/>
      <c r="E67" s="2"/>
      <c r="F67" s="2"/>
      <c r="G67" s="2"/>
      <c r="H67" s="2"/>
    </row>
    <row r="68" ht="15.75" customHeight="1">
      <c r="A68" s="2"/>
      <c r="B68" s="2"/>
      <c r="C68" s="2"/>
      <c r="D68" s="2"/>
      <c r="E68" s="2"/>
      <c r="F68" s="2"/>
      <c r="G68" s="2"/>
      <c r="H68" s="2"/>
    </row>
    <row r="69" ht="15.75" customHeight="1">
      <c r="A69" s="2"/>
      <c r="B69" s="2"/>
      <c r="C69" s="2"/>
      <c r="D69" s="2"/>
      <c r="E69" s="2"/>
      <c r="F69" s="2"/>
      <c r="G69" s="2"/>
      <c r="H69" s="2"/>
    </row>
    <row r="70" ht="15.75" customHeight="1">
      <c r="A70" s="2"/>
      <c r="B70" s="2"/>
      <c r="C70" s="2"/>
      <c r="D70" s="2"/>
      <c r="E70" s="2"/>
      <c r="F70" s="2"/>
      <c r="G70" s="2"/>
      <c r="H70" s="2"/>
    </row>
    <row r="71" ht="15.75" customHeight="1">
      <c r="A71" s="2"/>
      <c r="B71" s="2"/>
      <c r="C71" s="2"/>
      <c r="D71" s="2"/>
      <c r="E71" s="2"/>
      <c r="F71" s="2"/>
      <c r="G71" s="2"/>
      <c r="H71" s="2"/>
    </row>
    <row r="72" ht="15.75" customHeight="1">
      <c r="A72" s="2"/>
      <c r="B72" s="2"/>
      <c r="C72" s="2"/>
      <c r="D72" s="2"/>
      <c r="E72" s="2"/>
      <c r="F72" s="2"/>
      <c r="G72" s="2"/>
      <c r="H72" s="2"/>
    </row>
    <row r="73" ht="15.75" customHeight="1">
      <c r="A73" s="2"/>
      <c r="B73" s="2"/>
      <c r="C73" s="2"/>
      <c r="D73" s="2"/>
      <c r="E73" s="2"/>
      <c r="F73" s="2"/>
      <c r="G73" s="2"/>
      <c r="H73" s="2"/>
    </row>
    <row r="74" ht="15.75" customHeight="1">
      <c r="A74" s="2"/>
      <c r="B74" s="2"/>
      <c r="C74" s="2"/>
      <c r="D74" s="2"/>
      <c r="E74" s="2"/>
      <c r="F74" s="2"/>
      <c r="G74" s="2"/>
      <c r="H74" s="2"/>
    </row>
    <row r="75" ht="15.75" customHeight="1">
      <c r="A75" s="2"/>
      <c r="B75" s="2"/>
      <c r="C75" s="2"/>
      <c r="D75" s="2"/>
      <c r="E75" s="2"/>
      <c r="F75" s="2"/>
      <c r="G75" s="2"/>
      <c r="H75" s="2"/>
    </row>
    <row r="76" ht="15.75" customHeight="1">
      <c r="A76" s="2"/>
      <c r="B76" s="2"/>
      <c r="C76" s="2"/>
      <c r="D76" s="2"/>
      <c r="E76" s="2"/>
      <c r="F76" s="2"/>
      <c r="G76" s="2"/>
      <c r="H76" s="2"/>
    </row>
    <row r="77" ht="15.75" customHeight="1">
      <c r="A77" s="2"/>
      <c r="B77" s="2"/>
      <c r="C77" s="2"/>
      <c r="D77" s="2"/>
      <c r="E77" s="2"/>
      <c r="F77" s="2"/>
      <c r="G77" s="2"/>
      <c r="H77" s="2"/>
    </row>
    <row r="78" ht="15.75" customHeight="1">
      <c r="A78" s="2"/>
      <c r="B78" s="2"/>
      <c r="C78" s="2"/>
      <c r="D78" s="2"/>
      <c r="E78" s="2"/>
      <c r="F78" s="2"/>
      <c r="G78" s="2"/>
      <c r="H78" s="2"/>
    </row>
    <row r="79" ht="15.75" customHeight="1">
      <c r="A79" s="2"/>
      <c r="B79" s="2"/>
      <c r="C79" s="2"/>
      <c r="D79" s="2"/>
      <c r="E79" s="2"/>
      <c r="F79" s="2"/>
      <c r="G79" s="2"/>
      <c r="H79" s="2"/>
    </row>
    <row r="80" ht="15.75" customHeight="1">
      <c r="A80" s="2"/>
      <c r="B80" s="2"/>
      <c r="C80" s="2"/>
      <c r="D80" s="2"/>
      <c r="E80" s="2"/>
      <c r="F80" s="2"/>
      <c r="G80" s="2"/>
      <c r="H80" s="2"/>
    </row>
    <row r="81" ht="15.75" customHeight="1">
      <c r="A81" s="2"/>
      <c r="B81" s="2"/>
      <c r="C81" s="2"/>
      <c r="D81" s="2"/>
      <c r="E81" s="2"/>
      <c r="F81" s="2"/>
      <c r="G81" s="2"/>
      <c r="H81" s="2"/>
    </row>
    <row r="82" ht="15.75" customHeight="1">
      <c r="A82" s="2"/>
      <c r="B82" s="2"/>
      <c r="C82" s="2"/>
      <c r="D82" s="2"/>
      <c r="E82" s="2"/>
      <c r="F82" s="2"/>
      <c r="G82" s="2"/>
      <c r="H82" s="2"/>
    </row>
    <row r="83" ht="15.75" customHeight="1">
      <c r="A83" s="2"/>
      <c r="B83" s="2"/>
      <c r="C83" s="2"/>
      <c r="D83" s="2"/>
      <c r="E83" s="2"/>
      <c r="F83" s="2"/>
      <c r="G83" s="2"/>
      <c r="H83" s="2"/>
    </row>
    <row r="84" ht="15.75" customHeight="1">
      <c r="A84" s="2"/>
      <c r="B84" s="2"/>
      <c r="C84" s="2"/>
      <c r="D84" s="2"/>
      <c r="E84" s="2"/>
      <c r="F84" s="2"/>
      <c r="G84" s="2"/>
      <c r="H84" s="2"/>
    </row>
    <row r="85" ht="15.75" customHeight="1">
      <c r="A85" s="2"/>
      <c r="B85" s="2"/>
      <c r="C85" s="2"/>
      <c r="D85" s="2"/>
      <c r="E85" s="2"/>
      <c r="F85" s="2"/>
      <c r="G85" s="2"/>
      <c r="H85" s="2"/>
    </row>
    <row r="86" ht="15.75" customHeight="1">
      <c r="A86" s="2"/>
      <c r="B86" s="2"/>
      <c r="C86" s="2"/>
      <c r="D86" s="2"/>
      <c r="E86" s="2"/>
      <c r="F86" s="2"/>
      <c r="G86" s="2"/>
      <c r="H86" s="2"/>
    </row>
    <row r="87" ht="15.75" customHeight="1">
      <c r="A87" s="2"/>
      <c r="B87" s="2"/>
      <c r="C87" s="2"/>
      <c r="D87" s="2"/>
      <c r="E87" s="2"/>
      <c r="F87" s="2"/>
      <c r="G87" s="2"/>
      <c r="H87" s="2"/>
    </row>
    <row r="88" ht="15.75" customHeight="1">
      <c r="A88" s="2"/>
      <c r="B88" s="2"/>
      <c r="C88" s="2"/>
      <c r="D88" s="2"/>
      <c r="E88" s="2"/>
      <c r="F88" s="2"/>
      <c r="G88" s="2"/>
      <c r="H88" s="2"/>
    </row>
    <row r="89" ht="15.75" customHeight="1">
      <c r="A89" s="2"/>
      <c r="B89" s="2"/>
      <c r="C89" s="2"/>
      <c r="D89" s="2"/>
      <c r="E89" s="2"/>
      <c r="F89" s="2"/>
      <c r="G89" s="2"/>
      <c r="H89" s="2"/>
    </row>
    <row r="90" ht="15.75" customHeight="1">
      <c r="A90" s="2"/>
      <c r="B90" s="2"/>
      <c r="C90" s="2"/>
      <c r="D90" s="2"/>
      <c r="E90" s="2"/>
      <c r="F90" s="2"/>
      <c r="G90" s="2"/>
      <c r="H90" s="2"/>
    </row>
    <row r="91" ht="15.75" customHeight="1">
      <c r="A91" s="2"/>
      <c r="B91" s="2"/>
      <c r="C91" s="2"/>
      <c r="D91" s="2"/>
      <c r="E91" s="2"/>
      <c r="F91" s="2"/>
      <c r="G91" s="2"/>
      <c r="H91" s="2"/>
    </row>
    <row r="92" ht="15.75" customHeight="1">
      <c r="A92" s="2"/>
      <c r="B92" s="2"/>
      <c r="C92" s="2"/>
      <c r="D92" s="2"/>
      <c r="E92" s="2"/>
      <c r="F92" s="2"/>
      <c r="G92" s="2"/>
      <c r="H92" s="2"/>
    </row>
    <row r="93" ht="15.75" customHeight="1">
      <c r="A93" s="2"/>
      <c r="B93" s="2"/>
      <c r="C93" s="2"/>
      <c r="D93" s="2"/>
      <c r="E93" s="2"/>
      <c r="F93" s="2"/>
      <c r="G93" s="2"/>
      <c r="H93" s="2"/>
    </row>
    <row r="94" ht="15.75" customHeight="1">
      <c r="A94" s="2"/>
      <c r="B94" s="2"/>
      <c r="C94" s="2"/>
      <c r="D94" s="2"/>
      <c r="E94" s="2"/>
      <c r="F94" s="2"/>
      <c r="G94" s="2"/>
      <c r="H94" s="2"/>
    </row>
    <row r="95" ht="15.75" customHeight="1">
      <c r="A95" s="2"/>
      <c r="B95" s="2"/>
      <c r="C95" s="2"/>
      <c r="D95" s="2"/>
      <c r="E95" s="2"/>
      <c r="F95" s="2"/>
      <c r="G95" s="2"/>
      <c r="H95" s="2"/>
    </row>
    <row r="96" ht="15.75" customHeight="1">
      <c r="A96" s="2"/>
      <c r="B96" s="2"/>
      <c r="C96" s="2"/>
      <c r="D96" s="2"/>
      <c r="E96" s="2"/>
      <c r="F96" s="2"/>
      <c r="G96" s="2"/>
      <c r="H96" s="2"/>
    </row>
    <row r="97" ht="15.75" customHeight="1">
      <c r="A97" s="2"/>
      <c r="B97" s="2"/>
      <c r="C97" s="2"/>
      <c r="D97" s="2"/>
      <c r="E97" s="2"/>
      <c r="F97" s="2"/>
      <c r="G97" s="2"/>
      <c r="H97" s="2"/>
    </row>
    <row r="98" ht="15.75" customHeight="1">
      <c r="A98" s="2"/>
      <c r="B98" s="2"/>
      <c r="C98" s="2"/>
      <c r="D98" s="2"/>
      <c r="E98" s="2"/>
      <c r="F98" s="2"/>
      <c r="G98" s="2"/>
      <c r="H98" s="2"/>
    </row>
    <row r="99" ht="15.75" customHeight="1">
      <c r="A99" s="2"/>
      <c r="B99" s="2"/>
      <c r="C99" s="2"/>
      <c r="D99" s="2"/>
      <c r="E99" s="2"/>
      <c r="F99" s="2"/>
      <c r="G99" s="2"/>
      <c r="H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</row>
  </sheetData>
  <printOptions/>
  <pageMargins bottom="1.0" footer="0.0" header="0.0" left="0.75" right="0.75" top="1.0"/>
  <pageSetup orientation="landscape"/>
  <drawing r:id="rId1"/>
</worksheet>
</file>